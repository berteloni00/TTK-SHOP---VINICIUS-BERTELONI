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ref" sheetId="2" state="hidden" r:id="rId2"/>
    <sheet xmlns:r="http://schemas.openxmlformats.org/officeDocument/2006/relationships"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0F2B3A"/>
      <sz val="9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0F2B3A"/>
      </patternFill>
    </fill>
    <fill>
      <patternFill patternType="solid">
        <fgColor rgb="007EC8E3"/>
      </patternFill>
    </fill>
    <fill>
      <patternFill patternType="solid">
        <fgColor rgb="00FFF7CC"/>
      </patternFill>
    </fill>
    <fill>
      <patternFill patternType="solid">
        <fgColor rgb="00EEF3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7" customWidth="1" min="3" max="3"/>
    <col width="13" customWidth="1" min="4" max="4"/>
    <col width="8" customWidth="1" min="5" max="5"/>
    <col width="9" customWidth="1" min="6" max="6"/>
    <col width="11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5" customWidth="1" min="13" max="13"/>
    <col width="5" customWidth="1" min="14" max="14"/>
    <col width="5" customWidth="1" min="15" max="15"/>
    <col width="5" customWidth="1" min="16" max="16"/>
    <col hidden="1" width="11" customWidth="1" min="17" max="17"/>
    <col width="8" customWidth="1" min="18" max="18"/>
    <col hidden="1" width="13" customWidth="1" min="19" max="19"/>
    <col width="18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width="20" customWidth="1" min="29" max="29"/>
    <col width="13" customWidth="1" min="30" max="30"/>
  </cols>
  <sheetData>
    <row r="1" ht="34" customHeight="1">
      <c r="A1" s="1" t="inlineStr">
        <is>
          <t>Conta</t>
        </is>
      </c>
      <c r="B1" s="1" t="inlineStr">
        <is>
          <t>Loja vende?</t>
        </is>
      </c>
      <c r="C1" s="1" t="inlineStr">
        <is>
          <t>Hero?</t>
        </is>
      </c>
      <c r="D1" s="1" t="inlineStr">
        <is>
          <t>Tendência GMV</t>
        </is>
      </c>
      <c r="E1" s="1" t="inlineStr">
        <is>
          <t>Ativas (0-4)</t>
        </is>
      </c>
      <c r="F1" s="1" t="inlineStr">
        <is>
          <t>Maduras (0-4)</t>
        </is>
      </c>
      <c r="G1" s="1" t="inlineStr">
        <is>
          <t>GMV total</t>
        </is>
      </c>
      <c r="H1" s="1" t="inlineStr">
        <is>
          <t>Ads R$</t>
        </is>
      </c>
      <c r="I1" s="1" t="inlineStr">
        <is>
          <t>Comissões R$</t>
        </is>
      </c>
      <c r="J1" s="1" t="inlineStr">
        <is>
          <t>Lives R$</t>
        </is>
      </c>
      <c r="K1" s="1" t="inlineStr">
        <is>
          <t>Nº amostras</t>
        </is>
      </c>
      <c r="L1" s="1" t="inlineStr">
        <is>
          <t>Valor nominal R$</t>
        </is>
      </c>
      <c r="M1" s="1" t="inlineStr">
        <is>
          <t>D1</t>
        </is>
      </c>
      <c r="N1" s="1" t="inlineStr">
        <is>
          <t>D2</t>
        </is>
      </c>
      <c r="O1" s="1" t="inlineStr">
        <is>
          <t>D3</t>
        </is>
      </c>
      <c r="P1" s="1" t="inlineStr">
        <is>
          <t>D4</t>
        </is>
      </c>
      <c r="Q1" s="2" t="inlineStr">
        <is>
          <t>Custo amostras</t>
        </is>
      </c>
      <c r="R1" s="2" t="inlineStr">
        <is>
          <t>CT%</t>
        </is>
      </c>
      <c r="S1" s="2" t="inlineStr">
        <is>
          <t>cod</t>
        </is>
      </c>
      <c r="T1" s="2" t="inlineStr">
        <is>
          <t>MOMENTO</t>
        </is>
      </c>
      <c r="U1" s="2" t="inlineStr">
        <is>
          <t>bD1</t>
        </is>
      </c>
      <c r="V1" s="2" t="inlineStr">
        <is>
          <t>bD2</t>
        </is>
      </c>
      <c r="W1" s="2" t="inlineStr">
        <is>
          <t>bD3</t>
        </is>
      </c>
      <c r="X1" s="2" t="inlineStr">
        <is>
          <t>bD4</t>
        </is>
      </c>
      <c r="Y1" s="2" t="inlineStr">
        <is>
          <t>g1</t>
        </is>
      </c>
      <c r="Z1" s="2" t="inlineStr">
        <is>
          <t>g2</t>
        </is>
      </c>
      <c r="AA1" s="2" t="inlineStr">
        <is>
          <t>g3</t>
        </is>
      </c>
      <c r="AB1" s="2" t="inlineStr">
        <is>
          <t>g4</t>
        </is>
      </c>
      <c r="AC1" s="2" t="inlineStr">
        <is>
          <t>DIMENSÃO PRIORITÁRIA</t>
        </is>
      </c>
      <c r="AD1" s="2" t="inlineStr">
        <is>
          <t>Zona CT%</t>
        </is>
      </c>
    </row>
    <row r="2">
      <c r="A2" s="3" t="inlineStr">
        <is>
          <t>Mariana Amaral Acessórios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>
        <f>IF(K2="","",K2*L2*0.06)</f>
        <v/>
      </c>
      <c r="R2" s="6">
        <f>IFERROR((H2+I2+J2+Q2)/G2,"")</f>
        <v/>
      </c>
      <c r="S2" s="7">
        <f>IF(B2="","",IF(B2="Não","M0",IF(C2="Não","M1",IF(D2="Caindo","M5",IF(D2="Estável",IF(F2&gt;=2,"M6","M4"),IF(E2&lt;=1,"M2","M3"))))))</f>
        <v/>
      </c>
      <c r="T2" s="8">
        <f>IF(S2="","",S2&amp;" — "&amp;VLOOKUP(S2,ref!$A$2:$F$8,6,FALSE))</f>
        <v/>
      </c>
      <c r="U2" s="7">
        <f>IF($S2="","",VLOOKUP($S2,ref!$A$2:$F$8,2,FALSE))</f>
        <v/>
      </c>
      <c r="V2" s="7">
        <f>IF($S2="","",VLOOKUP($S2,ref!$A$2:$F$8,3,FALSE))</f>
        <v/>
      </c>
      <c r="W2" s="7">
        <f>IF($S2="","",VLOOKUP($S2,ref!$A$2:$F$8,4,FALSE))</f>
        <v/>
      </c>
      <c r="X2" s="7">
        <f>IF($S2="","",VLOOKUP($S2,ref!$A$2:$F$8,5,FALSE))</f>
        <v/>
      </c>
      <c r="Y2" s="7">
        <f>IF($S2="","",U2-M2)</f>
        <v/>
      </c>
      <c r="Z2" s="7">
        <f>IF($S2="","",V2-N2)</f>
        <v/>
      </c>
      <c r="AA2" s="7">
        <f>IF($S2="","",W2-O2)</f>
        <v/>
      </c>
      <c r="AB2" s="7">
        <f>IF($S2="","",X2-P2)</f>
        <v/>
      </c>
      <c r="AC2" s="8">
        <f>IF($S2="","",IF(MAX(Y2:AB2)&lt;=0,"D1 (otimizar)",IF(Y2=MAX(Y2:AB2),"D1 Produtos",IF(AA2=MAX(Y2:AB2),"D3 Afiliados",IF(AB2=MAX(Y2:AB2),"D4 Social","D2 Ads")))))</f>
        <v/>
      </c>
      <c r="AD2" s="9">
        <f>IF(R2="","",IF(R2&lt;=0.2,"🟢 Saudável",IF(R2&lt;=0.35,"🟡 Atenção","🔴 Crítico")))</f>
        <v/>
      </c>
    </row>
    <row r="3">
      <c r="A3" s="3" t="inlineStr">
        <is>
          <t>Saint Germain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>
        <f>IF(K3="","",K3*L3*0.06)</f>
        <v/>
      </c>
      <c r="R3" s="6">
        <f>IFERROR((H3+I3+J3+Q3)/G3,"")</f>
        <v/>
      </c>
      <c r="S3" s="7">
        <f>IF(B3="","",IF(B3="Não","M0",IF(C3="Não","M1",IF(D3="Caindo","M5",IF(D3="Estável",IF(F3&gt;=2,"M6","M4"),IF(E3&lt;=1,"M2","M3"))))))</f>
        <v/>
      </c>
      <c r="T3" s="8">
        <f>IF(S3="","",S3&amp;" — "&amp;VLOOKUP(S3,ref!$A$2:$F$8,6,FALSE))</f>
        <v/>
      </c>
      <c r="U3" s="7">
        <f>IF($S3="","",VLOOKUP($S3,ref!$A$2:$F$8,2,FALSE))</f>
        <v/>
      </c>
      <c r="V3" s="7">
        <f>IF($S3="","",VLOOKUP($S3,ref!$A$2:$F$8,3,FALSE))</f>
        <v/>
      </c>
      <c r="W3" s="7">
        <f>IF($S3="","",VLOOKUP($S3,ref!$A$2:$F$8,4,FALSE))</f>
        <v/>
      </c>
      <c r="X3" s="7">
        <f>IF($S3="","",VLOOKUP($S3,ref!$A$2:$F$8,5,FALSE))</f>
        <v/>
      </c>
      <c r="Y3" s="7">
        <f>IF($S3="","",U3-M3)</f>
        <v/>
      </c>
      <c r="Z3" s="7">
        <f>IF($S3="","",V3-N3)</f>
        <v/>
      </c>
      <c r="AA3" s="7">
        <f>IF($S3="","",W3-O3)</f>
        <v/>
      </c>
      <c r="AB3" s="7">
        <f>IF($S3="","",X3-P3)</f>
        <v/>
      </c>
      <c r="AC3" s="8">
        <f>IF($S3="","",IF(MAX(Y3:AB3)&lt;=0,"D1 (otimizar)",IF(Y3=MAX(Y3:AB3),"D1 Produtos",IF(AA3=MAX(Y3:AB3),"D3 Afiliados",IF(AB3=MAX(Y3:AB3),"D4 Social","D2 Ads")))))</f>
        <v/>
      </c>
      <c r="AD3" s="9">
        <f>IF(R3="","",IF(R3&lt;=0.2,"🟢 Saudável",IF(R3&lt;=0.35,"🟡 Atenção","🔴 Crítico")))</f>
        <v/>
      </c>
    </row>
    <row r="4">
      <c r="A4" s="3" t="inlineStr">
        <is>
          <t>Pétala Beauty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5">
        <f>IF(K4="","",K4*L4*0.06)</f>
        <v/>
      </c>
      <c r="R4" s="6">
        <f>IFERROR((H4+I4+J4+Q4)/G4,"")</f>
        <v/>
      </c>
      <c r="S4" s="7">
        <f>IF(B4="","",IF(B4="Não","M0",IF(C4="Não","M1",IF(D4="Caindo","M5",IF(D4="Estável",IF(F4&gt;=2,"M6","M4"),IF(E4&lt;=1,"M2","M3"))))))</f>
        <v/>
      </c>
      <c r="T4" s="8">
        <f>IF(S4="","",S4&amp;" — "&amp;VLOOKUP(S4,ref!$A$2:$F$8,6,FALSE))</f>
        <v/>
      </c>
      <c r="U4" s="7">
        <f>IF($S4="","",VLOOKUP($S4,ref!$A$2:$F$8,2,FALSE))</f>
        <v/>
      </c>
      <c r="V4" s="7">
        <f>IF($S4="","",VLOOKUP($S4,ref!$A$2:$F$8,3,FALSE))</f>
        <v/>
      </c>
      <c r="W4" s="7">
        <f>IF($S4="","",VLOOKUP($S4,ref!$A$2:$F$8,4,FALSE))</f>
        <v/>
      </c>
      <c r="X4" s="7">
        <f>IF($S4="","",VLOOKUP($S4,ref!$A$2:$F$8,5,FALSE))</f>
        <v/>
      </c>
      <c r="Y4" s="7">
        <f>IF($S4="","",U4-M4)</f>
        <v/>
      </c>
      <c r="Z4" s="7">
        <f>IF($S4="","",V4-N4)</f>
        <v/>
      </c>
      <c r="AA4" s="7">
        <f>IF($S4="","",W4-O4)</f>
        <v/>
      </c>
      <c r="AB4" s="7">
        <f>IF($S4="","",X4-P4)</f>
        <v/>
      </c>
      <c r="AC4" s="8">
        <f>IF($S4="","",IF(MAX(Y4:AB4)&lt;=0,"D1 (otimizar)",IF(Y4=MAX(Y4:AB4),"D1 Produtos",IF(AA4=MAX(Y4:AB4),"D3 Afiliados",IF(AB4=MAX(Y4:AB4),"D4 Social","D2 Ads")))))</f>
        <v/>
      </c>
      <c r="AD4" s="9">
        <f>IF(R4="","",IF(R4&lt;=0.2,"🟢 Saudável",IF(R4&lt;=0.35,"🟡 Atenção","🔴 Crítico")))</f>
        <v/>
      </c>
    </row>
    <row r="5">
      <c r="A5" s="3" t="inlineStr">
        <is>
          <t>Potere Joias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5">
        <f>IF(K5="","",K5*L5*0.06)</f>
        <v/>
      </c>
      <c r="R5" s="6">
        <f>IFERROR((H5+I5+J5+Q5)/G5,"")</f>
        <v/>
      </c>
      <c r="S5" s="7">
        <f>IF(B5="","",IF(B5="Não","M0",IF(C5="Não","M1",IF(D5="Caindo","M5",IF(D5="Estável",IF(F5&gt;=2,"M6","M4"),IF(E5&lt;=1,"M2","M3"))))))</f>
        <v/>
      </c>
      <c r="T5" s="8">
        <f>IF(S5="","",S5&amp;" — "&amp;VLOOKUP(S5,ref!$A$2:$F$8,6,FALSE))</f>
        <v/>
      </c>
      <c r="U5" s="7">
        <f>IF($S5="","",VLOOKUP($S5,ref!$A$2:$F$8,2,FALSE))</f>
        <v/>
      </c>
      <c r="V5" s="7">
        <f>IF($S5="","",VLOOKUP($S5,ref!$A$2:$F$8,3,FALSE))</f>
        <v/>
      </c>
      <c r="W5" s="7">
        <f>IF($S5="","",VLOOKUP($S5,ref!$A$2:$F$8,4,FALSE))</f>
        <v/>
      </c>
      <c r="X5" s="7">
        <f>IF($S5="","",VLOOKUP($S5,ref!$A$2:$F$8,5,FALSE))</f>
        <v/>
      </c>
      <c r="Y5" s="7">
        <f>IF($S5="","",U5-M5)</f>
        <v/>
      </c>
      <c r="Z5" s="7">
        <f>IF($S5="","",V5-N5)</f>
        <v/>
      </c>
      <c r="AA5" s="7">
        <f>IF($S5="","",W5-O5)</f>
        <v/>
      </c>
      <c r="AB5" s="7">
        <f>IF($S5="","",X5-P5)</f>
        <v/>
      </c>
      <c r="AC5" s="8">
        <f>IF($S5="","",IF(MAX(Y5:AB5)&lt;=0,"D1 (otimizar)",IF(Y5=MAX(Y5:AB5),"D1 Produtos",IF(AA5=MAX(Y5:AB5),"D3 Afiliados",IF(AB5=MAX(Y5:AB5),"D4 Social","D2 Ads")))))</f>
        <v/>
      </c>
      <c r="AD5" s="9">
        <f>IF(R5="","",IF(R5&lt;=0.2,"🟢 Saudável",IF(R5&lt;=0.35,"🟡 Atenção","🔴 Crítico")))</f>
        <v/>
      </c>
    </row>
    <row r="6">
      <c r="A6" s="3" t="inlineStr">
        <is>
          <t>Manalinda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5">
        <f>IF(K6="","",K6*L6*0.06)</f>
        <v/>
      </c>
      <c r="R6" s="6">
        <f>IFERROR((H6+I6+J6+Q6)/G6,"")</f>
        <v/>
      </c>
      <c r="S6" s="7">
        <f>IF(B6="","",IF(B6="Não","M0",IF(C6="Não","M1",IF(D6="Caindo","M5",IF(D6="Estável",IF(F6&gt;=2,"M6","M4"),IF(E6&lt;=1,"M2","M3"))))))</f>
        <v/>
      </c>
      <c r="T6" s="8">
        <f>IF(S6="","",S6&amp;" — "&amp;VLOOKUP(S6,ref!$A$2:$F$8,6,FALSE))</f>
        <v/>
      </c>
      <c r="U6" s="7">
        <f>IF($S6="","",VLOOKUP($S6,ref!$A$2:$F$8,2,FALSE))</f>
        <v/>
      </c>
      <c r="V6" s="7">
        <f>IF($S6="","",VLOOKUP($S6,ref!$A$2:$F$8,3,FALSE))</f>
        <v/>
      </c>
      <c r="W6" s="7">
        <f>IF($S6="","",VLOOKUP($S6,ref!$A$2:$F$8,4,FALSE))</f>
        <v/>
      </c>
      <c r="X6" s="7">
        <f>IF($S6="","",VLOOKUP($S6,ref!$A$2:$F$8,5,FALSE))</f>
        <v/>
      </c>
      <c r="Y6" s="7">
        <f>IF($S6="","",U6-M6)</f>
        <v/>
      </c>
      <c r="Z6" s="7">
        <f>IF($S6="","",V6-N6)</f>
        <v/>
      </c>
      <c r="AA6" s="7">
        <f>IF($S6="","",W6-O6)</f>
        <v/>
      </c>
      <c r="AB6" s="7">
        <f>IF($S6="","",X6-P6)</f>
        <v/>
      </c>
      <c r="AC6" s="8">
        <f>IF($S6="","",IF(MAX(Y6:AB6)&lt;=0,"D1 (otimizar)",IF(Y6=MAX(Y6:AB6),"D1 Produtos",IF(AA6=MAX(Y6:AB6),"D3 Afiliados",IF(AB6=MAX(Y6:AB6),"D4 Social","D2 Ads")))))</f>
        <v/>
      </c>
      <c r="AD6" s="9">
        <f>IF(R6="","",IF(R6&lt;=0.2,"🟢 Saudável",IF(R6&lt;=0.35,"🟡 Atenção","🔴 Crítico")))</f>
        <v/>
      </c>
    </row>
    <row r="7">
      <c r="A7" s="3" t="inlineStr">
        <is>
          <t>Bela Blue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5">
        <f>IF(K7="","",K7*L7*0.06)</f>
        <v/>
      </c>
      <c r="R7" s="6">
        <f>IFERROR((H7+I7+J7+Q7)/G7,"")</f>
        <v/>
      </c>
      <c r="S7" s="7">
        <f>IF(B7="","",IF(B7="Não","M0",IF(C7="Não","M1",IF(D7="Caindo","M5",IF(D7="Estável",IF(F7&gt;=2,"M6","M4"),IF(E7&lt;=1,"M2","M3"))))))</f>
        <v/>
      </c>
      <c r="T7" s="8">
        <f>IF(S7="","",S7&amp;" — "&amp;VLOOKUP(S7,ref!$A$2:$F$8,6,FALSE))</f>
        <v/>
      </c>
      <c r="U7" s="7">
        <f>IF($S7="","",VLOOKUP($S7,ref!$A$2:$F$8,2,FALSE))</f>
        <v/>
      </c>
      <c r="V7" s="7">
        <f>IF($S7="","",VLOOKUP($S7,ref!$A$2:$F$8,3,FALSE))</f>
        <v/>
      </c>
      <c r="W7" s="7">
        <f>IF($S7="","",VLOOKUP($S7,ref!$A$2:$F$8,4,FALSE))</f>
        <v/>
      </c>
      <c r="X7" s="7">
        <f>IF($S7="","",VLOOKUP($S7,ref!$A$2:$F$8,5,FALSE))</f>
        <v/>
      </c>
      <c r="Y7" s="7">
        <f>IF($S7="","",U7-M7)</f>
        <v/>
      </c>
      <c r="Z7" s="7">
        <f>IF($S7="","",V7-N7)</f>
        <v/>
      </c>
      <c r="AA7" s="7">
        <f>IF($S7="","",W7-O7)</f>
        <v/>
      </c>
      <c r="AB7" s="7">
        <f>IF($S7="","",X7-P7)</f>
        <v/>
      </c>
      <c r="AC7" s="8">
        <f>IF($S7="","",IF(MAX(Y7:AB7)&lt;=0,"D1 (otimizar)",IF(Y7=MAX(Y7:AB7),"D1 Produtos",IF(AA7=MAX(Y7:AB7),"D3 Afiliados",IF(AB7=MAX(Y7:AB7),"D4 Social","D2 Ads")))))</f>
        <v/>
      </c>
      <c r="AD7" s="9">
        <f>IF(R7="","",IF(R7&lt;=0.2,"🟢 Saudável",IF(R7&lt;=0.35,"🟡 Atenção","🔴 Crítico")))</f>
        <v/>
      </c>
    </row>
    <row r="8">
      <c r="A8" s="3" t="inlineStr">
        <is>
          <t>Personalize Pharma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5">
        <f>IF(K8="","",K8*L8*0.06)</f>
        <v/>
      </c>
      <c r="R8" s="6">
        <f>IFERROR((H8+I8+J8+Q8)/G8,"")</f>
        <v/>
      </c>
      <c r="S8" s="7">
        <f>IF(B8="","",IF(B8="Não","M0",IF(C8="Não","M1",IF(D8="Caindo","M5",IF(D8="Estável",IF(F8&gt;=2,"M6","M4"),IF(E8&lt;=1,"M2","M3"))))))</f>
        <v/>
      </c>
      <c r="T8" s="8">
        <f>IF(S8="","",S8&amp;" — "&amp;VLOOKUP(S8,ref!$A$2:$F$8,6,FALSE))</f>
        <v/>
      </c>
      <c r="U8" s="7">
        <f>IF($S8="","",VLOOKUP($S8,ref!$A$2:$F$8,2,FALSE))</f>
        <v/>
      </c>
      <c r="V8" s="7">
        <f>IF($S8="","",VLOOKUP($S8,ref!$A$2:$F$8,3,FALSE))</f>
        <v/>
      </c>
      <c r="W8" s="7">
        <f>IF($S8="","",VLOOKUP($S8,ref!$A$2:$F$8,4,FALSE))</f>
        <v/>
      </c>
      <c r="X8" s="7">
        <f>IF($S8="","",VLOOKUP($S8,ref!$A$2:$F$8,5,FALSE))</f>
        <v/>
      </c>
      <c r="Y8" s="7">
        <f>IF($S8="","",U8-M8)</f>
        <v/>
      </c>
      <c r="Z8" s="7">
        <f>IF($S8="","",V8-N8)</f>
        <v/>
      </c>
      <c r="AA8" s="7">
        <f>IF($S8="","",W8-O8)</f>
        <v/>
      </c>
      <c r="AB8" s="7">
        <f>IF($S8="","",X8-P8)</f>
        <v/>
      </c>
      <c r="AC8" s="8">
        <f>IF($S8="","",IF(MAX(Y8:AB8)&lt;=0,"D1 (otimizar)",IF(Y8=MAX(Y8:AB8),"D1 Produtos",IF(AA8=MAX(Y8:AB8),"D3 Afiliados",IF(AB8=MAX(Y8:AB8),"D4 Social","D2 Ads")))))</f>
        <v/>
      </c>
      <c r="AD8" s="9">
        <f>IF(R8="","",IF(R8&lt;=0.2,"🟢 Saudável",IF(R8&lt;=0.35,"🟡 Atenção","🔴 Crítico")))</f>
        <v/>
      </c>
    </row>
    <row r="9">
      <c r="A9" s="3" t="inlineStr">
        <is>
          <t>Biobone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5">
        <f>IF(K9="","",K9*L9*0.06)</f>
        <v/>
      </c>
      <c r="R9" s="6">
        <f>IFERROR((H9+I9+J9+Q9)/G9,"")</f>
        <v/>
      </c>
      <c r="S9" s="7">
        <f>IF(B9="","",IF(B9="Não","M0",IF(C9="Não","M1",IF(D9="Caindo","M5",IF(D9="Estável",IF(F9&gt;=2,"M6","M4"),IF(E9&lt;=1,"M2","M3"))))))</f>
        <v/>
      </c>
      <c r="T9" s="8">
        <f>IF(S9="","",S9&amp;" — "&amp;VLOOKUP(S9,ref!$A$2:$F$8,6,FALSE))</f>
        <v/>
      </c>
      <c r="U9" s="7">
        <f>IF($S9="","",VLOOKUP($S9,ref!$A$2:$F$8,2,FALSE))</f>
        <v/>
      </c>
      <c r="V9" s="7">
        <f>IF($S9="","",VLOOKUP($S9,ref!$A$2:$F$8,3,FALSE))</f>
        <v/>
      </c>
      <c r="W9" s="7">
        <f>IF($S9="","",VLOOKUP($S9,ref!$A$2:$F$8,4,FALSE))</f>
        <v/>
      </c>
      <c r="X9" s="7">
        <f>IF($S9="","",VLOOKUP($S9,ref!$A$2:$F$8,5,FALSE))</f>
        <v/>
      </c>
      <c r="Y9" s="7">
        <f>IF($S9="","",U9-M9)</f>
        <v/>
      </c>
      <c r="Z9" s="7">
        <f>IF($S9="","",V9-N9)</f>
        <v/>
      </c>
      <c r="AA9" s="7">
        <f>IF($S9="","",W9-O9)</f>
        <v/>
      </c>
      <c r="AB9" s="7">
        <f>IF($S9="","",X9-P9)</f>
        <v/>
      </c>
      <c r="AC9" s="8">
        <f>IF($S9="","",IF(MAX(Y9:AB9)&lt;=0,"D1 (otimizar)",IF(Y9=MAX(Y9:AB9),"D1 Produtos",IF(AA9=MAX(Y9:AB9),"D3 Afiliados",IF(AB9=MAX(Y9:AB9),"D4 Social","D2 Ads")))))</f>
        <v/>
      </c>
      <c r="AD9" s="9">
        <f>IF(R9="","",IF(R9&lt;=0.2,"🟢 Saudável",IF(R9&lt;=0.35,"🟡 Atenção","🔴 Crítico")))</f>
        <v/>
      </c>
    </row>
    <row r="10">
      <c r="A10" s="3" t="inlineStr">
        <is>
          <t>Hiven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>
        <f>IF(K10="","",K10*L10*0.06)</f>
        <v/>
      </c>
      <c r="R10" s="6">
        <f>IFERROR((H10+I10+J10+Q10)/G10,"")</f>
        <v/>
      </c>
      <c r="S10" s="7">
        <f>IF(B10="","",IF(B10="Não","M0",IF(C10="Não","M1",IF(D10="Caindo","M5",IF(D10="Estável",IF(F10&gt;=2,"M6","M4"),IF(E10&lt;=1,"M2","M3"))))))</f>
        <v/>
      </c>
      <c r="T10" s="8">
        <f>IF(S10="","",S10&amp;" — "&amp;VLOOKUP(S10,ref!$A$2:$F$8,6,FALSE))</f>
        <v/>
      </c>
      <c r="U10" s="7">
        <f>IF($S10="","",VLOOKUP($S10,ref!$A$2:$F$8,2,FALSE))</f>
        <v/>
      </c>
      <c r="V10" s="7">
        <f>IF($S10="","",VLOOKUP($S10,ref!$A$2:$F$8,3,FALSE))</f>
        <v/>
      </c>
      <c r="W10" s="7">
        <f>IF($S10="","",VLOOKUP($S10,ref!$A$2:$F$8,4,FALSE))</f>
        <v/>
      </c>
      <c r="X10" s="7">
        <f>IF($S10="","",VLOOKUP($S10,ref!$A$2:$F$8,5,FALSE))</f>
        <v/>
      </c>
      <c r="Y10" s="7">
        <f>IF($S10="","",U10-M10)</f>
        <v/>
      </c>
      <c r="Z10" s="7">
        <f>IF($S10="","",V10-N10)</f>
        <v/>
      </c>
      <c r="AA10" s="7">
        <f>IF($S10="","",W10-O10)</f>
        <v/>
      </c>
      <c r="AB10" s="7">
        <f>IF($S10="","",X10-P10)</f>
        <v/>
      </c>
      <c r="AC10" s="8">
        <f>IF($S10="","",IF(MAX(Y10:AB10)&lt;=0,"D1 (otimizar)",IF(Y10=MAX(Y10:AB10),"D1 Produtos",IF(AA10=MAX(Y10:AB10),"D3 Afiliados",IF(AB10=MAX(Y10:AB10),"D4 Social","D2 Ads")))))</f>
        <v/>
      </c>
      <c r="AD10" s="9">
        <f>IF(R10="","",IF(R10&lt;=0.2,"🟢 Saudável",IF(R10&lt;=0.35,"🟡 Atenção","🔴 Crítico")))</f>
        <v/>
      </c>
    </row>
    <row r="11">
      <c r="A11" s="3" t="inlineStr">
        <is>
          <t>Risty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5">
        <f>IF(K11="","",K11*L11*0.06)</f>
        <v/>
      </c>
      <c r="R11" s="6">
        <f>IFERROR((H11+I11+J11+Q11)/G11,"")</f>
        <v/>
      </c>
      <c r="S11" s="7">
        <f>IF(B11="","",IF(B11="Não","M0",IF(C11="Não","M1",IF(D11="Caindo","M5",IF(D11="Estável",IF(F11&gt;=2,"M6","M4"),IF(E11&lt;=1,"M2","M3"))))))</f>
        <v/>
      </c>
      <c r="T11" s="8">
        <f>IF(S11="","",S11&amp;" — "&amp;VLOOKUP(S11,ref!$A$2:$F$8,6,FALSE))</f>
        <v/>
      </c>
      <c r="U11" s="7">
        <f>IF($S11="","",VLOOKUP($S11,ref!$A$2:$F$8,2,FALSE))</f>
        <v/>
      </c>
      <c r="V11" s="7">
        <f>IF($S11="","",VLOOKUP($S11,ref!$A$2:$F$8,3,FALSE))</f>
        <v/>
      </c>
      <c r="W11" s="7">
        <f>IF($S11="","",VLOOKUP($S11,ref!$A$2:$F$8,4,FALSE))</f>
        <v/>
      </c>
      <c r="X11" s="7">
        <f>IF($S11="","",VLOOKUP($S11,ref!$A$2:$F$8,5,FALSE))</f>
        <v/>
      </c>
      <c r="Y11" s="7">
        <f>IF($S11="","",U11-M11)</f>
        <v/>
      </c>
      <c r="Z11" s="7">
        <f>IF($S11="","",V11-N11)</f>
        <v/>
      </c>
      <c r="AA11" s="7">
        <f>IF($S11="","",W11-O11)</f>
        <v/>
      </c>
      <c r="AB11" s="7">
        <f>IF($S11="","",X11-P11)</f>
        <v/>
      </c>
      <c r="AC11" s="8">
        <f>IF($S11="","",IF(MAX(Y11:AB11)&lt;=0,"D1 (otimizar)",IF(Y11=MAX(Y11:AB11),"D1 Produtos",IF(AA11=MAX(Y11:AB11),"D3 Afiliados",IF(AB11=MAX(Y11:AB11),"D4 Social","D2 Ads")))))</f>
        <v/>
      </c>
      <c r="AD11" s="9">
        <f>IF(R11="","",IF(R11&lt;=0.2,"🟢 Saudável",IF(R11&lt;=0.35,"🟡 Atenção","🔴 Crítico")))</f>
        <v/>
      </c>
    </row>
    <row r="12">
      <c r="A12" s="3" t="inlineStr">
        <is>
          <t>Nouf Cosméticos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5">
        <f>IF(K12="","",K12*L12*0.06)</f>
        <v/>
      </c>
      <c r="R12" s="6">
        <f>IFERROR((H12+I12+J12+Q12)/G12,"")</f>
        <v/>
      </c>
      <c r="S12" s="7">
        <f>IF(B12="","",IF(B12="Não","M0",IF(C12="Não","M1",IF(D12="Caindo","M5",IF(D12="Estável",IF(F12&gt;=2,"M6","M4"),IF(E12&lt;=1,"M2","M3"))))))</f>
        <v/>
      </c>
      <c r="T12" s="8">
        <f>IF(S12="","",S12&amp;" — "&amp;VLOOKUP(S12,ref!$A$2:$F$8,6,FALSE))</f>
        <v/>
      </c>
      <c r="U12" s="7">
        <f>IF($S12="","",VLOOKUP($S12,ref!$A$2:$F$8,2,FALSE))</f>
        <v/>
      </c>
      <c r="V12" s="7">
        <f>IF($S12="","",VLOOKUP($S12,ref!$A$2:$F$8,3,FALSE))</f>
        <v/>
      </c>
      <c r="W12" s="7">
        <f>IF($S12="","",VLOOKUP($S12,ref!$A$2:$F$8,4,FALSE))</f>
        <v/>
      </c>
      <c r="X12" s="7">
        <f>IF($S12="","",VLOOKUP($S12,ref!$A$2:$F$8,5,FALSE))</f>
        <v/>
      </c>
      <c r="Y12" s="7">
        <f>IF($S12="","",U12-M12)</f>
        <v/>
      </c>
      <c r="Z12" s="7">
        <f>IF($S12="","",V12-N12)</f>
        <v/>
      </c>
      <c r="AA12" s="7">
        <f>IF($S12="","",W12-O12)</f>
        <v/>
      </c>
      <c r="AB12" s="7">
        <f>IF($S12="","",X12-P12)</f>
        <v/>
      </c>
      <c r="AC12" s="8">
        <f>IF($S12="","",IF(MAX(Y12:AB12)&lt;=0,"D1 (otimizar)",IF(Y12=MAX(Y12:AB12),"D1 Produtos",IF(AA12=MAX(Y12:AB12),"D3 Afiliados",IF(AB12=MAX(Y12:AB12),"D4 Social","D2 Ads")))))</f>
        <v/>
      </c>
      <c r="AD12" s="9">
        <f>IF(R12="","",IF(R12&lt;=0.2,"🟢 Saudável",IF(R12&lt;=0.35,"🟡 Atenção","🔴 Crítico")))</f>
        <v/>
      </c>
    </row>
    <row r="13">
      <c r="A13" s="3" t="inlineStr">
        <is>
          <t>Pangeia 96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5">
        <f>IF(K13="","",K13*L13*0.06)</f>
        <v/>
      </c>
      <c r="R13" s="6">
        <f>IFERROR((H13+I13+J13+Q13)/G13,"")</f>
        <v/>
      </c>
      <c r="S13" s="7">
        <f>IF(B13="","",IF(B13="Não","M0",IF(C13="Não","M1",IF(D13="Caindo","M5",IF(D13="Estável",IF(F13&gt;=2,"M6","M4"),IF(E13&lt;=1,"M2","M3"))))))</f>
        <v/>
      </c>
      <c r="T13" s="8">
        <f>IF(S13="","",S13&amp;" — "&amp;VLOOKUP(S13,ref!$A$2:$F$8,6,FALSE))</f>
        <v/>
      </c>
      <c r="U13" s="7">
        <f>IF($S13="","",VLOOKUP($S13,ref!$A$2:$F$8,2,FALSE))</f>
        <v/>
      </c>
      <c r="V13" s="7">
        <f>IF($S13="","",VLOOKUP($S13,ref!$A$2:$F$8,3,FALSE))</f>
        <v/>
      </c>
      <c r="W13" s="7">
        <f>IF($S13="","",VLOOKUP($S13,ref!$A$2:$F$8,4,FALSE))</f>
        <v/>
      </c>
      <c r="X13" s="7">
        <f>IF($S13="","",VLOOKUP($S13,ref!$A$2:$F$8,5,FALSE))</f>
        <v/>
      </c>
      <c r="Y13" s="7">
        <f>IF($S13="","",U13-M13)</f>
        <v/>
      </c>
      <c r="Z13" s="7">
        <f>IF($S13="","",V13-N13)</f>
        <v/>
      </c>
      <c r="AA13" s="7">
        <f>IF($S13="","",W13-O13)</f>
        <v/>
      </c>
      <c r="AB13" s="7">
        <f>IF($S13="","",X13-P13)</f>
        <v/>
      </c>
      <c r="AC13" s="8">
        <f>IF($S13="","",IF(MAX(Y13:AB13)&lt;=0,"D1 (otimizar)",IF(Y13=MAX(Y13:AB13),"D1 Produtos",IF(AA13=MAX(Y13:AB13),"D3 Afiliados",IF(AB13=MAX(Y13:AB13),"D4 Social","D2 Ads")))))</f>
        <v/>
      </c>
      <c r="AD13" s="9">
        <f>IF(R13="","",IF(R13&lt;=0.2,"🟢 Saudável",IF(R13&lt;=0.35,"🟡 Atenção","🔴 Crítico")))</f>
        <v/>
      </c>
    </row>
    <row r="14">
      <c r="A14" s="3" t="inlineStr">
        <is>
          <t>HILÊ INDÚSTRIA LTDA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5">
        <f>IF(K14="","",K14*L14*0.06)</f>
        <v/>
      </c>
      <c r="R14" s="6">
        <f>IFERROR((H14+I14+J14+Q14)/G14,"")</f>
        <v/>
      </c>
      <c r="S14" s="7">
        <f>IF(B14="","",IF(B14="Não","M0",IF(C14="Não","M1",IF(D14="Caindo","M5",IF(D14="Estável",IF(F14&gt;=2,"M6","M4"),IF(E14&lt;=1,"M2","M3"))))))</f>
        <v/>
      </c>
      <c r="T14" s="8">
        <f>IF(S14="","",S14&amp;" — "&amp;VLOOKUP(S14,ref!$A$2:$F$8,6,FALSE))</f>
        <v/>
      </c>
      <c r="U14" s="7">
        <f>IF($S14="","",VLOOKUP($S14,ref!$A$2:$F$8,2,FALSE))</f>
        <v/>
      </c>
      <c r="V14" s="7">
        <f>IF($S14="","",VLOOKUP($S14,ref!$A$2:$F$8,3,FALSE))</f>
        <v/>
      </c>
      <c r="W14" s="7">
        <f>IF($S14="","",VLOOKUP($S14,ref!$A$2:$F$8,4,FALSE))</f>
        <v/>
      </c>
      <c r="X14" s="7">
        <f>IF($S14="","",VLOOKUP($S14,ref!$A$2:$F$8,5,FALSE))</f>
        <v/>
      </c>
      <c r="Y14" s="7">
        <f>IF($S14="","",U14-M14)</f>
        <v/>
      </c>
      <c r="Z14" s="7">
        <f>IF($S14="","",V14-N14)</f>
        <v/>
      </c>
      <c r="AA14" s="7">
        <f>IF($S14="","",W14-O14)</f>
        <v/>
      </c>
      <c r="AB14" s="7">
        <f>IF($S14="","",X14-P14)</f>
        <v/>
      </c>
      <c r="AC14" s="8">
        <f>IF($S14="","",IF(MAX(Y14:AB14)&lt;=0,"D1 (otimizar)",IF(Y14=MAX(Y14:AB14),"D1 Produtos",IF(AA14=MAX(Y14:AB14),"D3 Afiliados",IF(AB14=MAX(Y14:AB14),"D4 Social","D2 Ads")))))</f>
        <v/>
      </c>
      <c r="AD14" s="9">
        <f>IF(R14="","",IF(R14&lt;=0.2,"🟢 Saudável",IF(R14&lt;=0.35,"🟡 Atenção","🔴 Crítico")))</f>
        <v/>
      </c>
    </row>
    <row r="15">
      <c r="A15" s="3" t="inlineStr">
        <is>
          <t>Flor de Carlota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5">
        <f>IF(K15="","",K15*L15*0.06)</f>
        <v/>
      </c>
      <c r="R15" s="6">
        <f>IFERROR((H15+I15+J15+Q15)/G15,"")</f>
        <v/>
      </c>
      <c r="S15" s="7">
        <f>IF(B15="","",IF(B15="Não","M0",IF(C15="Não","M1",IF(D15="Caindo","M5",IF(D15="Estável",IF(F15&gt;=2,"M6","M4"),IF(E15&lt;=1,"M2","M3"))))))</f>
        <v/>
      </c>
      <c r="T15" s="8">
        <f>IF(S15="","",S15&amp;" — "&amp;VLOOKUP(S15,ref!$A$2:$F$8,6,FALSE))</f>
        <v/>
      </c>
      <c r="U15" s="7">
        <f>IF($S15="","",VLOOKUP($S15,ref!$A$2:$F$8,2,FALSE))</f>
        <v/>
      </c>
      <c r="V15" s="7">
        <f>IF($S15="","",VLOOKUP($S15,ref!$A$2:$F$8,3,FALSE))</f>
        <v/>
      </c>
      <c r="W15" s="7">
        <f>IF($S15="","",VLOOKUP($S15,ref!$A$2:$F$8,4,FALSE))</f>
        <v/>
      </c>
      <c r="X15" s="7">
        <f>IF($S15="","",VLOOKUP($S15,ref!$A$2:$F$8,5,FALSE))</f>
        <v/>
      </c>
      <c r="Y15" s="7">
        <f>IF($S15="","",U15-M15)</f>
        <v/>
      </c>
      <c r="Z15" s="7">
        <f>IF($S15="","",V15-N15)</f>
        <v/>
      </c>
      <c r="AA15" s="7">
        <f>IF($S15="","",W15-O15)</f>
        <v/>
      </c>
      <c r="AB15" s="7">
        <f>IF($S15="","",X15-P15)</f>
        <v/>
      </c>
      <c r="AC15" s="8">
        <f>IF($S15="","",IF(MAX(Y15:AB15)&lt;=0,"D1 (otimizar)",IF(Y15=MAX(Y15:AB15),"D1 Produtos",IF(AA15=MAX(Y15:AB15),"D3 Afiliados",IF(AB15=MAX(Y15:AB15),"D4 Social","D2 Ads")))))</f>
        <v/>
      </c>
      <c r="AD15" s="9">
        <f>IF(R15="","",IF(R15&lt;=0.2,"🟢 Saudável",IF(R15&lt;=0.35,"🟡 Atenção","🔴 Crítico")))</f>
        <v/>
      </c>
    </row>
    <row r="16">
      <c r="A16" s="3" t="inlineStr">
        <is>
          <t>GoQuadros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>
        <f>IF(K16="","",K16*L16*0.06)</f>
        <v/>
      </c>
      <c r="R16" s="6">
        <f>IFERROR((H16+I16+J16+Q16)/G16,"")</f>
        <v/>
      </c>
      <c r="S16" s="7">
        <f>IF(B16="","",IF(B16="Não","M0",IF(C16="Não","M1",IF(D16="Caindo","M5",IF(D16="Estável",IF(F16&gt;=2,"M6","M4"),IF(E16&lt;=1,"M2","M3"))))))</f>
        <v/>
      </c>
      <c r="T16" s="8">
        <f>IF(S16="","",S16&amp;" — "&amp;VLOOKUP(S16,ref!$A$2:$F$8,6,FALSE))</f>
        <v/>
      </c>
      <c r="U16" s="7">
        <f>IF($S16="","",VLOOKUP($S16,ref!$A$2:$F$8,2,FALSE))</f>
        <v/>
      </c>
      <c r="V16" s="7">
        <f>IF($S16="","",VLOOKUP($S16,ref!$A$2:$F$8,3,FALSE))</f>
        <v/>
      </c>
      <c r="W16" s="7">
        <f>IF($S16="","",VLOOKUP($S16,ref!$A$2:$F$8,4,FALSE))</f>
        <v/>
      </c>
      <c r="X16" s="7">
        <f>IF($S16="","",VLOOKUP($S16,ref!$A$2:$F$8,5,FALSE))</f>
        <v/>
      </c>
      <c r="Y16" s="7">
        <f>IF($S16="","",U16-M16)</f>
        <v/>
      </c>
      <c r="Z16" s="7">
        <f>IF($S16="","",V16-N16)</f>
        <v/>
      </c>
      <c r="AA16" s="7">
        <f>IF($S16="","",W16-O16)</f>
        <v/>
      </c>
      <c r="AB16" s="7">
        <f>IF($S16="","",X16-P16)</f>
        <v/>
      </c>
      <c r="AC16" s="8">
        <f>IF($S16="","",IF(MAX(Y16:AB16)&lt;=0,"D1 (otimizar)",IF(Y16=MAX(Y16:AB16),"D1 Produtos",IF(AA16=MAX(Y16:AB16),"D3 Afiliados",IF(AB16=MAX(Y16:AB16),"D4 Social","D2 Ads")))))</f>
        <v/>
      </c>
      <c r="AD16" s="9">
        <f>IF(R16="","",IF(R16&lt;=0.2,"🟢 Saudável",IF(R16&lt;=0.35,"🟡 Atenção","🔴 Crítico")))</f>
        <v/>
      </c>
    </row>
    <row r="17">
      <c r="A17" s="3" t="inlineStr">
        <is>
          <t>Lírios Store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5">
        <f>IF(K17="","",K17*L17*0.06)</f>
        <v/>
      </c>
      <c r="R17" s="6">
        <f>IFERROR((H17+I17+J17+Q17)/G17,"")</f>
        <v/>
      </c>
      <c r="S17" s="7">
        <f>IF(B17="","",IF(B17="Não","M0",IF(C17="Não","M1",IF(D17="Caindo","M5",IF(D17="Estável",IF(F17&gt;=2,"M6","M4"),IF(E17&lt;=1,"M2","M3"))))))</f>
        <v/>
      </c>
      <c r="T17" s="8">
        <f>IF(S17="","",S17&amp;" — "&amp;VLOOKUP(S17,ref!$A$2:$F$8,6,FALSE))</f>
        <v/>
      </c>
      <c r="U17" s="7">
        <f>IF($S17="","",VLOOKUP($S17,ref!$A$2:$F$8,2,FALSE))</f>
        <v/>
      </c>
      <c r="V17" s="7">
        <f>IF($S17="","",VLOOKUP($S17,ref!$A$2:$F$8,3,FALSE))</f>
        <v/>
      </c>
      <c r="W17" s="7">
        <f>IF($S17="","",VLOOKUP($S17,ref!$A$2:$F$8,4,FALSE))</f>
        <v/>
      </c>
      <c r="X17" s="7">
        <f>IF($S17="","",VLOOKUP($S17,ref!$A$2:$F$8,5,FALSE))</f>
        <v/>
      </c>
      <c r="Y17" s="7">
        <f>IF($S17="","",U17-M17)</f>
        <v/>
      </c>
      <c r="Z17" s="7">
        <f>IF($S17="","",V17-N17)</f>
        <v/>
      </c>
      <c r="AA17" s="7">
        <f>IF($S17="","",W17-O17)</f>
        <v/>
      </c>
      <c r="AB17" s="7">
        <f>IF($S17="","",X17-P17)</f>
        <v/>
      </c>
      <c r="AC17" s="8">
        <f>IF($S17="","",IF(MAX(Y17:AB17)&lt;=0,"D1 (otimizar)",IF(Y17=MAX(Y17:AB17),"D1 Produtos",IF(AA17=MAX(Y17:AB17),"D3 Afiliados",IF(AB17=MAX(Y17:AB17),"D4 Social","D2 Ads")))))</f>
        <v/>
      </c>
      <c r="AD17" s="9">
        <f>IF(R17="","",IF(R17&lt;=0.2,"🟢 Saudável",IF(R17&lt;=0.35,"🟡 Atenção","🔴 Crítico")))</f>
        <v/>
      </c>
    </row>
    <row r="18">
      <c r="A18" s="3" t="inlineStr">
        <is>
          <t>Use Elizah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>
        <f>IF(K18="","",K18*L18*0.06)</f>
        <v/>
      </c>
      <c r="R18" s="6">
        <f>IFERROR((H18+I18+J18+Q18)/G18,"")</f>
        <v/>
      </c>
      <c r="S18" s="7">
        <f>IF(B18="","",IF(B18="Não","M0",IF(C18="Não","M1",IF(D18="Caindo","M5",IF(D18="Estável",IF(F18&gt;=2,"M6","M4"),IF(E18&lt;=1,"M2","M3"))))))</f>
        <v/>
      </c>
      <c r="T18" s="8">
        <f>IF(S18="","",S18&amp;" — "&amp;VLOOKUP(S18,ref!$A$2:$F$8,6,FALSE))</f>
        <v/>
      </c>
      <c r="U18" s="7">
        <f>IF($S18="","",VLOOKUP($S18,ref!$A$2:$F$8,2,FALSE))</f>
        <v/>
      </c>
      <c r="V18" s="7">
        <f>IF($S18="","",VLOOKUP($S18,ref!$A$2:$F$8,3,FALSE))</f>
        <v/>
      </c>
      <c r="W18" s="7">
        <f>IF($S18="","",VLOOKUP($S18,ref!$A$2:$F$8,4,FALSE))</f>
        <v/>
      </c>
      <c r="X18" s="7">
        <f>IF($S18="","",VLOOKUP($S18,ref!$A$2:$F$8,5,FALSE))</f>
        <v/>
      </c>
      <c r="Y18" s="7">
        <f>IF($S18="","",U18-M18)</f>
        <v/>
      </c>
      <c r="Z18" s="7">
        <f>IF($S18="","",V18-N18)</f>
        <v/>
      </c>
      <c r="AA18" s="7">
        <f>IF($S18="","",W18-O18)</f>
        <v/>
      </c>
      <c r="AB18" s="7">
        <f>IF($S18="","",X18-P18)</f>
        <v/>
      </c>
      <c r="AC18" s="8">
        <f>IF($S18="","",IF(MAX(Y18:AB18)&lt;=0,"D1 (otimizar)",IF(Y18=MAX(Y18:AB18),"D1 Produtos",IF(AA18=MAX(Y18:AB18),"D3 Afiliados",IF(AB18=MAX(Y18:AB18),"D4 Social","D2 Ads")))))</f>
        <v/>
      </c>
      <c r="AD18" s="9">
        <f>IF(R18="","",IF(R18&lt;=0.2,"🟢 Saudável",IF(R18&lt;=0.35,"🟡 Atenção","🔴 Crítico")))</f>
        <v/>
      </c>
    </row>
    <row r="19">
      <c r="A19" s="3" t="inlineStr">
        <is>
          <t>ThaBeauty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5">
        <f>IF(K19="","",K19*L19*0.06)</f>
        <v/>
      </c>
      <c r="R19" s="6">
        <f>IFERROR((H19+I19+J19+Q19)/G19,"")</f>
        <v/>
      </c>
      <c r="S19" s="7">
        <f>IF(B19="","",IF(B19="Não","M0",IF(C19="Não","M1",IF(D19="Caindo","M5",IF(D19="Estável",IF(F19&gt;=2,"M6","M4"),IF(E19&lt;=1,"M2","M3"))))))</f>
        <v/>
      </c>
      <c r="T19" s="8">
        <f>IF(S19="","",S19&amp;" — "&amp;VLOOKUP(S19,ref!$A$2:$F$8,6,FALSE))</f>
        <v/>
      </c>
      <c r="U19" s="7">
        <f>IF($S19="","",VLOOKUP($S19,ref!$A$2:$F$8,2,FALSE))</f>
        <v/>
      </c>
      <c r="V19" s="7">
        <f>IF($S19="","",VLOOKUP($S19,ref!$A$2:$F$8,3,FALSE))</f>
        <v/>
      </c>
      <c r="W19" s="7">
        <f>IF($S19="","",VLOOKUP($S19,ref!$A$2:$F$8,4,FALSE))</f>
        <v/>
      </c>
      <c r="X19" s="7">
        <f>IF($S19="","",VLOOKUP($S19,ref!$A$2:$F$8,5,FALSE))</f>
        <v/>
      </c>
      <c r="Y19" s="7">
        <f>IF($S19="","",U19-M19)</f>
        <v/>
      </c>
      <c r="Z19" s="7">
        <f>IF($S19="","",V19-N19)</f>
        <v/>
      </c>
      <c r="AA19" s="7">
        <f>IF($S19="","",W19-O19)</f>
        <v/>
      </c>
      <c r="AB19" s="7">
        <f>IF($S19="","",X19-P19)</f>
        <v/>
      </c>
      <c r="AC19" s="8">
        <f>IF($S19="","",IF(MAX(Y19:AB19)&lt;=0,"D1 (otimizar)",IF(Y19=MAX(Y19:AB19),"D1 Produtos",IF(AA19=MAX(Y19:AB19),"D3 Afiliados",IF(AB19=MAX(Y19:AB19),"D4 Social","D2 Ads")))))</f>
        <v/>
      </c>
      <c r="AD19" s="9">
        <f>IF(R19="","",IF(R19&lt;=0.2,"🟢 Saudável",IF(R19&lt;=0.35,"🟡 Atenção","🔴 Crítico")))</f>
        <v/>
      </c>
    </row>
    <row r="20">
      <c r="A20" s="3" t="inlineStr">
        <is>
          <t>Dilla Moda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>
        <f>IF(K20="","",K20*L20*0.06)</f>
        <v/>
      </c>
      <c r="R20" s="6">
        <f>IFERROR((H20+I20+J20+Q20)/G20,"")</f>
        <v/>
      </c>
      <c r="S20" s="7">
        <f>IF(B20="","",IF(B20="Não","M0",IF(C20="Não","M1",IF(D20="Caindo","M5",IF(D20="Estável",IF(F20&gt;=2,"M6","M4"),IF(E20&lt;=1,"M2","M3"))))))</f>
        <v/>
      </c>
      <c r="T20" s="8">
        <f>IF(S20="","",S20&amp;" — "&amp;VLOOKUP(S20,ref!$A$2:$F$8,6,FALSE))</f>
        <v/>
      </c>
      <c r="U20" s="7">
        <f>IF($S20="","",VLOOKUP($S20,ref!$A$2:$F$8,2,FALSE))</f>
        <v/>
      </c>
      <c r="V20" s="7">
        <f>IF($S20="","",VLOOKUP($S20,ref!$A$2:$F$8,3,FALSE))</f>
        <v/>
      </c>
      <c r="W20" s="7">
        <f>IF($S20="","",VLOOKUP($S20,ref!$A$2:$F$8,4,FALSE))</f>
        <v/>
      </c>
      <c r="X20" s="7">
        <f>IF($S20="","",VLOOKUP($S20,ref!$A$2:$F$8,5,FALSE))</f>
        <v/>
      </c>
      <c r="Y20" s="7">
        <f>IF($S20="","",U20-M20)</f>
        <v/>
      </c>
      <c r="Z20" s="7">
        <f>IF($S20="","",V20-N20)</f>
        <v/>
      </c>
      <c r="AA20" s="7">
        <f>IF($S20="","",W20-O20)</f>
        <v/>
      </c>
      <c r="AB20" s="7">
        <f>IF($S20="","",X20-P20)</f>
        <v/>
      </c>
      <c r="AC20" s="8">
        <f>IF($S20="","",IF(MAX(Y20:AB20)&lt;=0,"D1 (otimizar)",IF(Y20=MAX(Y20:AB20),"D1 Produtos",IF(AA20=MAX(Y20:AB20),"D3 Afiliados",IF(AB20=MAX(Y20:AB20),"D4 Social","D2 Ads")))))</f>
        <v/>
      </c>
      <c r="AD20" s="9">
        <f>IF(R20="","",IF(R20&lt;=0.2,"🟢 Saudável",IF(R20&lt;=0.35,"🟡 Atenção","🔴 Crítico")))</f>
        <v/>
      </c>
    </row>
    <row r="21">
      <c r="A21" s="3" t="inlineStr">
        <is>
          <t>El Patron Platas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5">
        <f>IF(K21="","",K21*L21*0.06)</f>
        <v/>
      </c>
      <c r="R21" s="6">
        <f>IFERROR((H21+I21+J21+Q21)/G21,"")</f>
        <v/>
      </c>
      <c r="S21" s="7">
        <f>IF(B21="","",IF(B21="Não","M0",IF(C21="Não","M1",IF(D21="Caindo","M5",IF(D21="Estável",IF(F21&gt;=2,"M6","M4"),IF(E21&lt;=1,"M2","M3"))))))</f>
        <v/>
      </c>
      <c r="T21" s="8">
        <f>IF(S21="","",S21&amp;" — "&amp;VLOOKUP(S21,ref!$A$2:$F$8,6,FALSE))</f>
        <v/>
      </c>
      <c r="U21" s="7">
        <f>IF($S21="","",VLOOKUP($S21,ref!$A$2:$F$8,2,FALSE))</f>
        <v/>
      </c>
      <c r="V21" s="7">
        <f>IF($S21="","",VLOOKUP($S21,ref!$A$2:$F$8,3,FALSE))</f>
        <v/>
      </c>
      <c r="W21" s="7">
        <f>IF($S21="","",VLOOKUP($S21,ref!$A$2:$F$8,4,FALSE))</f>
        <v/>
      </c>
      <c r="X21" s="7">
        <f>IF($S21="","",VLOOKUP($S21,ref!$A$2:$F$8,5,FALSE))</f>
        <v/>
      </c>
      <c r="Y21" s="7">
        <f>IF($S21="","",U21-M21)</f>
        <v/>
      </c>
      <c r="Z21" s="7">
        <f>IF($S21="","",V21-N21)</f>
        <v/>
      </c>
      <c r="AA21" s="7">
        <f>IF($S21="","",W21-O21)</f>
        <v/>
      </c>
      <c r="AB21" s="7">
        <f>IF($S21="","",X21-P21)</f>
        <v/>
      </c>
      <c r="AC21" s="8">
        <f>IF($S21="","",IF(MAX(Y21:AB21)&lt;=0,"D1 (otimizar)",IF(Y21=MAX(Y21:AB21),"D1 Produtos",IF(AA21=MAX(Y21:AB21),"D3 Afiliados",IF(AB21=MAX(Y21:AB21),"D4 Social","D2 Ads")))))</f>
        <v/>
      </c>
      <c r="AD21" s="9">
        <f>IF(R21="","",IF(R21&lt;=0.2,"🟢 Saudável",IF(R21&lt;=0.35,"🟡 Atenção","🔴 Crítico")))</f>
        <v/>
      </c>
    </row>
    <row r="22">
      <c r="A22" s="3" t="inlineStr">
        <is>
          <t>PetSkin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>
        <f>IF(K22="","",K22*L22*0.06)</f>
        <v/>
      </c>
      <c r="R22" s="6">
        <f>IFERROR((H22+I22+J22+Q22)/G22,"")</f>
        <v/>
      </c>
      <c r="S22" s="7">
        <f>IF(B22="","",IF(B22="Não","M0",IF(C22="Não","M1",IF(D22="Caindo","M5",IF(D22="Estável",IF(F22&gt;=2,"M6","M4"),IF(E22&lt;=1,"M2","M3"))))))</f>
        <v/>
      </c>
      <c r="T22" s="8">
        <f>IF(S22="","",S22&amp;" — "&amp;VLOOKUP(S22,ref!$A$2:$F$8,6,FALSE))</f>
        <v/>
      </c>
      <c r="U22" s="7">
        <f>IF($S22="","",VLOOKUP($S22,ref!$A$2:$F$8,2,FALSE))</f>
        <v/>
      </c>
      <c r="V22" s="7">
        <f>IF($S22="","",VLOOKUP($S22,ref!$A$2:$F$8,3,FALSE))</f>
        <v/>
      </c>
      <c r="W22" s="7">
        <f>IF($S22="","",VLOOKUP($S22,ref!$A$2:$F$8,4,FALSE))</f>
        <v/>
      </c>
      <c r="X22" s="7">
        <f>IF($S22="","",VLOOKUP($S22,ref!$A$2:$F$8,5,FALSE))</f>
        <v/>
      </c>
      <c r="Y22" s="7">
        <f>IF($S22="","",U22-M22)</f>
        <v/>
      </c>
      <c r="Z22" s="7">
        <f>IF($S22="","",V22-N22)</f>
        <v/>
      </c>
      <c r="AA22" s="7">
        <f>IF($S22="","",W22-O22)</f>
        <v/>
      </c>
      <c r="AB22" s="7">
        <f>IF($S22="","",X22-P22)</f>
        <v/>
      </c>
      <c r="AC22" s="8">
        <f>IF($S22="","",IF(MAX(Y22:AB22)&lt;=0,"D1 (otimizar)",IF(Y22=MAX(Y22:AB22),"D1 Produtos",IF(AA22=MAX(Y22:AB22),"D3 Afiliados",IF(AB22=MAX(Y22:AB22),"D4 Social","D2 Ads")))))</f>
        <v/>
      </c>
      <c r="AD22" s="9">
        <f>IF(R22="","",IF(R22&lt;=0.2,"🟢 Saudável",IF(R22&lt;=0.35,"🟡 Atenção","🔴 Crítico")))</f>
        <v/>
      </c>
    </row>
    <row r="23">
      <c r="A23" s="3" t="inlineStr">
        <is>
          <t>Holtt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5">
        <f>IF(K23="","",K23*L23*0.06)</f>
        <v/>
      </c>
      <c r="R23" s="6">
        <f>IFERROR((H23+I23+J23+Q23)/G23,"")</f>
        <v/>
      </c>
      <c r="S23" s="7">
        <f>IF(B23="","",IF(B23="Não","M0",IF(C23="Não","M1",IF(D23="Caindo","M5",IF(D23="Estável",IF(F23&gt;=2,"M6","M4"),IF(E23&lt;=1,"M2","M3"))))))</f>
        <v/>
      </c>
      <c r="T23" s="8">
        <f>IF(S23="","",S23&amp;" — "&amp;VLOOKUP(S23,ref!$A$2:$F$8,6,FALSE))</f>
        <v/>
      </c>
      <c r="U23" s="7">
        <f>IF($S23="","",VLOOKUP($S23,ref!$A$2:$F$8,2,FALSE))</f>
        <v/>
      </c>
      <c r="V23" s="7">
        <f>IF($S23="","",VLOOKUP($S23,ref!$A$2:$F$8,3,FALSE))</f>
        <v/>
      </c>
      <c r="W23" s="7">
        <f>IF($S23="","",VLOOKUP($S23,ref!$A$2:$F$8,4,FALSE))</f>
        <v/>
      </c>
      <c r="X23" s="7">
        <f>IF($S23="","",VLOOKUP($S23,ref!$A$2:$F$8,5,FALSE))</f>
        <v/>
      </c>
      <c r="Y23" s="7">
        <f>IF($S23="","",U23-M23)</f>
        <v/>
      </c>
      <c r="Z23" s="7">
        <f>IF($S23="","",V23-N23)</f>
        <v/>
      </c>
      <c r="AA23" s="7">
        <f>IF($S23="","",W23-O23)</f>
        <v/>
      </c>
      <c r="AB23" s="7">
        <f>IF($S23="","",X23-P23)</f>
        <v/>
      </c>
      <c r="AC23" s="8">
        <f>IF($S23="","",IF(MAX(Y23:AB23)&lt;=0,"D1 (otimizar)",IF(Y23=MAX(Y23:AB23),"D1 Produtos",IF(AA23=MAX(Y23:AB23),"D3 Afiliados",IF(AB23=MAX(Y23:AB23),"D4 Social","D2 Ads")))))</f>
        <v/>
      </c>
      <c r="AD23" s="9">
        <f>IF(R23="","",IF(R23&lt;=0.2,"🟢 Saudável",IF(R23&lt;=0.35,"🟡 Atenção","🔴 Crítico")))</f>
        <v/>
      </c>
    </row>
    <row r="24">
      <c r="A24" s="3" t="inlineStr">
        <is>
          <t>Urbanique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>
        <f>IF(K24="","",K24*L24*0.06)</f>
        <v/>
      </c>
      <c r="R24" s="6">
        <f>IFERROR((H24+I24+J24+Q24)/G24,"")</f>
        <v/>
      </c>
      <c r="S24" s="7">
        <f>IF(B24="","",IF(B24="Não","M0",IF(C24="Não","M1",IF(D24="Caindo","M5",IF(D24="Estável",IF(F24&gt;=2,"M6","M4"),IF(E24&lt;=1,"M2","M3"))))))</f>
        <v/>
      </c>
      <c r="T24" s="8">
        <f>IF(S24="","",S24&amp;" — "&amp;VLOOKUP(S24,ref!$A$2:$F$8,6,FALSE))</f>
        <v/>
      </c>
      <c r="U24" s="7">
        <f>IF($S24="","",VLOOKUP($S24,ref!$A$2:$F$8,2,FALSE))</f>
        <v/>
      </c>
      <c r="V24" s="7">
        <f>IF($S24="","",VLOOKUP($S24,ref!$A$2:$F$8,3,FALSE))</f>
        <v/>
      </c>
      <c r="W24" s="7">
        <f>IF($S24="","",VLOOKUP($S24,ref!$A$2:$F$8,4,FALSE))</f>
        <v/>
      </c>
      <c r="X24" s="7">
        <f>IF($S24="","",VLOOKUP($S24,ref!$A$2:$F$8,5,FALSE))</f>
        <v/>
      </c>
      <c r="Y24" s="7">
        <f>IF($S24="","",U24-M24)</f>
        <v/>
      </c>
      <c r="Z24" s="7">
        <f>IF($S24="","",V24-N24)</f>
        <v/>
      </c>
      <c r="AA24" s="7">
        <f>IF($S24="","",W24-O24)</f>
        <v/>
      </c>
      <c r="AB24" s="7">
        <f>IF($S24="","",X24-P24)</f>
        <v/>
      </c>
      <c r="AC24" s="8">
        <f>IF($S24="","",IF(MAX(Y24:AB24)&lt;=0,"D1 (otimizar)",IF(Y24=MAX(Y24:AB24),"D1 Produtos",IF(AA24=MAX(Y24:AB24),"D3 Afiliados",IF(AB24=MAX(Y24:AB24),"D4 Social","D2 Ads")))))</f>
        <v/>
      </c>
      <c r="AD24" s="9">
        <f>IF(R24="","",IF(R24&lt;=0.2,"🟢 Saudável",IF(R24&lt;=0.35,"🟡 Atenção","🔴 Crítico")))</f>
        <v/>
      </c>
    </row>
    <row r="25">
      <c r="A25" s="3" t="inlineStr">
        <is>
          <t>Carolina Luna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5">
        <f>IF(K25="","",K25*L25*0.06)</f>
        <v/>
      </c>
      <c r="R25" s="6">
        <f>IFERROR((H25+I25+J25+Q25)/G25,"")</f>
        <v/>
      </c>
      <c r="S25" s="7">
        <f>IF(B25="","",IF(B25="Não","M0",IF(C25="Não","M1",IF(D25="Caindo","M5",IF(D25="Estável",IF(F25&gt;=2,"M6","M4"),IF(E25&lt;=1,"M2","M3"))))))</f>
        <v/>
      </c>
      <c r="T25" s="8">
        <f>IF(S25="","",S25&amp;" — "&amp;VLOOKUP(S25,ref!$A$2:$F$8,6,FALSE))</f>
        <v/>
      </c>
      <c r="U25" s="7">
        <f>IF($S25="","",VLOOKUP($S25,ref!$A$2:$F$8,2,FALSE))</f>
        <v/>
      </c>
      <c r="V25" s="7">
        <f>IF($S25="","",VLOOKUP($S25,ref!$A$2:$F$8,3,FALSE))</f>
        <v/>
      </c>
      <c r="W25" s="7">
        <f>IF($S25="","",VLOOKUP($S25,ref!$A$2:$F$8,4,FALSE))</f>
        <v/>
      </c>
      <c r="X25" s="7">
        <f>IF($S25="","",VLOOKUP($S25,ref!$A$2:$F$8,5,FALSE))</f>
        <v/>
      </c>
      <c r="Y25" s="7">
        <f>IF($S25="","",U25-M25)</f>
        <v/>
      </c>
      <c r="Z25" s="7">
        <f>IF($S25="","",V25-N25)</f>
        <v/>
      </c>
      <c r="AA25" s="7">
        <f>IF($S25="","",W25-O25)</f>
        <v/>
      </c>
      <c r="AB25" s="7">
        <f>IF($S25="","",X25-P25)</f>
        <v/>
      </c>
      <c r="AC25" s="8">
        <f>IF($S25="","",IF(MAX(Y25:AB25)&lt;=0,"D1 (otimizar)",IF(Y25=MAX(Y25:AB25),"D1 Produtos",IF(AA25=MAX(Y25:AB25),"D3 Afiliados",IF(AB25=MAX(Y25:AB25),"D4 Social","D2 Ads")))))</f>
        <v/>
      </c>
      <c r="AD25" s="9">
        <f>IF(R25="","",IF(R25&lt;=0.2,"🟢 Saudável",IF(R25&lt;=0.35,"🟡 Atenção","🔴 Crítico")))</f>
        <v/>
      </c>
    </row>
    <row r="26">
      <c r="A26" s="3" t="inlineStr">
        <is>
          <t>Ysy Acessórios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>
        <f>IF(K26="","",K26*L26*0.06)</f>
        <v/>
      </c>
      <c r="R26" s="6">
        <f>IFERROR((H26+I26+J26+Q26)/G26,"")</f>
        <v/>
      </c>
      <c r="S26" s="7">
        <f>IF(B26="","",IF(B26="Não","M0",IF(C26="Não","M1",IF(D26="Caindo","M5",IF(D26="Estável",IF(F26&gt;=2,"M6","M4"),IF(E26&lt;=1,"M2","M3"))))))</f>
        <v/>
      </c>
      <c r="T26" s="8">
        <f>IF(S26="","",S26&amp;" — "&amp;VLOOKUP(S26,ref!$A$2:$F$8,6,FALSE))</f>
        <v/>
      </c>
      <c r="U26" s="7">
        <f>IF($S26="","",VLOOKUP($S26,ref!$A$2:$F$8,2,FALSE))</f>
        <v/>
      </c>
      <c r="V26" s="7">
        <f>IF($S26="","",VLOOKUP($S26,ref!$A$2:$F$8,3,FALSE))</f>
        <v/>
      </c>
      <c r="W26" s="7">
        <f>IF($S26="","",VLOOKUP($S26,ref!$A$2:$F$8,4,FALSE))</f>
        <v/>
      </c>
      <c r="X26" s="7">
        <f>IF($S26="","",VLOOKUP($S26,ref!$A$2:$F$8,5,FALSE))</f>
        <v/>
      </c>
      <c r="Y26" s="7">
        <f>IF($S26="","",U26-M26)</f>
        <v/>
      </c>
      <c r="Z26" s="7">
        <f>IF($S26="","",V26-N26)</f>
        <v/>
      </c>
      <c r="AA26" s="7">
        <f>IF($S26="","",W26-O26)</f>
        <v/>
      </c>
      <c r="AB26" s="7">
        <f>IF($S26="","",X26-P26)</f>
        <v/>
      </c>
      <c r="AC26" s="8">
        <f>IF($S26="","",IF(MAX(Y26:AB26)&lt;=0,"D1 (otimizar)",IF(Y26=MAX(Y26:AB26),"D1 Produtos",IF(AA26=MAX(Y26:AB26),"D3 Afiliados",IF(AB26=MAX(Y26:AB26),"D4 Social","D2 Ads")))))</f>
        <v/>
      </c>
      <c r="AD26" s="9">
        <f>IF(R26="","",IF(R26&lt;=0.2,"🟢 Saudável",IF(R26&lt;=0.35,"🟡 Atenção","🔴 Crítico")))</f>
        <v/>
      </c>
    </row>
    <row r="27">
      <c r="A27" s="3" t="inlineStr">
        <is>
          <t>CloseBrothers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5">
        <f>IF(K27="","",K27*L27*0.06)</f>
        <v/>
      </c>
      <c r="R27" s="6">
        <f>IFERROR((H27+I27+J27+Q27)/G27,"")</f>
        <v/>
      </c>
      <c r="S27" s="7">
        <f>IF(B27="","",IF(B27="Não","M0",IF(C27="Não","M1",IF(D27="Caindo","M5",IF(D27="Estável",IF(F27&gt;=2,"M6","M4"),IF(E27&lt;=1,"M2","M3"))))))</f>
        <v/>
      </c>
      <c r="T27" s="8">
        <f>IF(S27="","",S27&amp;" — "&amp;VLOOKUP(S27,ref!$A$2:$F$8,6,FALSE))</f>
        <v/>
      </c>
      <c r="U27" s="7">
        <f>IF($S27="","",VLOOKUP($S27,ref!$A$2:$F$8,2,FALSE))</f>
        <v/>
      </c>
      <c r="V27" s="7">
        <f>IF($S27="","",VLOOKUP($S27,ref!$A$2:$F$8,3,FALSE))</f>
        <v/>
      </c>
      <c r="W27" s="7">
        <f>IF($S27="","",VLOOKUP($S27,ref!$A$2:$F$8,4,FALSE))</f>
        <v/>
      </c>
      <c r="X27" s="7">
        <f>IF($S27="","",VLOOKUP($S27,ref!$A$2:$F$8,5,FALSE))</f>
        <v/>
      </c>
      <c r="Y27" s="7">
        <f>IF($S27="","",U27-M27)</f>
        <v/>
      </c>
      <c r="Z27" s="7">
        <f>IF($S27="","",V27-N27)</f>
        <v/>
      </c>
      <c r="AA27" s="7">
        <f>IF($S27="","",W27-O27)</f>
        <v/>
      </c>
      <c r="AB27" s="7">
        <f>IF($S27="","",X27-P27)</f>
        <v/>
      </c>
      <c r="AC27" s="8">
        <f>IF($S27="","",IF(MAX(Y27:AB27)&lt;=0,"D1 (otimizar)",IF(Y27=MAX(Y27:AB27),"D1 Produtos",IF(AA27=MAX(Y27:AB27),"D3 Afiliados",IF(AB27=MAX(Y27:AB27),"D4 Social","D2 Ads")))))</f>
        <v/>
      </c>
      <c r="AD27" s="9">
        <f>IF(R27="","",IF(R27&lt;=0.2,"🟢 Saudável",IF(R27&lt;=0.35,"🟡 Atenção","🔴 Crítico")))</f>
        <v/>
      </c>
    </row>
    <row r="28">
      <c r="A28" s="3" t="inlineStr">
        <is>
          <t>Meu Sapato Preto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>
        <f>IF(K28="","",K28*L28*0.06)</f>
        <v/>
      </c>
      <c r="R28" s="6">
        <f>IFERROR((H28+I28+J28+Q28)/G28,"")</f>
        <v/>
      </c>
      <c r="S28" s="7">
        <f>IF(B28="","",IF(B28="Não","M0",IF(C28="Não","M1",IF(D28="Caindo","M5",IF(D28="Estável",IF(F28&gt;=2,"M6","M4"),IF(E28&lt;=1,"M2","M3"))))))</f>
        <v/>
      </c>
      <c r="T28" s="8">
        <f>IF(S28="","",S28&amp;" — "&amp;VLOOKUP(S28,ref!$A$2:$F$8,6,FALSE))</f>
        <v/>
      </c>
      <c r="U28" s="7">
        <f>IF($S28="","",VLOOKUP($S28,ref!$A$2:$F$8,2,FALSE))</f>
        <v/>
      </c>
      <c r="V28" s="7">
        <f>IF($S28="","",VLOOKUP($S28,ref!$A$2:$F$8,3,FALSE))</f>
        <v/>
      </c>
      <c r="W28" s="7">
        <f>IF($S28="","",VLOOKUP($S28,ref!$A$2:$F$8,4,FALSE))</f>
        <v/>
      </c>
      <c r="X28" s="7">
        <f>IF($S28="","",VLOOKUP($S28,ref!$A$2:$F$8,5,FALSE))</f>
        <v/>
      </c>
      <c r="Y28" s="7">
        <f>IF($S28="","",U28-M28)</f>
        <v/>
      </c>
      <c r="Z28" s="7">
        <f>IF($S28="","",V28-N28)</f>
        <v/>
      </c>
      <c r="AA28" s="7">
        <f>IF($S28="","",W28-O28)</f>
        <v/>
      </c>
      <c r="AB28" s="7">
        <f>IF($S28="","",X28-P28)</f>
        <v/>
      </c>
      <c r="AC28" s="8">
        <f>IF($S28="","",IF(MAX(Y28:AB28)&lt;=0,"D1 (otimizar)",IF(Y28=MAX(Y28:AB28),"D1 Produtos",IF(AA28=MAX(Y28:AB28),"D3 Afiliados",IF(AB28=MAX(Y28:AB28),"D4 Social","D2 Ads")))))</f>
        <v/>
      </c>
      <c r="AD28" s="9">
        <f>IF(R28="","",IF(R28&lt;=0.2,"🟢 Saudável",IF(R28&lt;=0.35,"🟡 Atenção","🔴 Crítico")))</f>
        <v/>
      </c>
    </row>
    <row r="29">
      <c r="A29" s="3" t="inlineStr">
        <is>
          <t>FLS Cosméticos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5">
        <f>IF(K29="","",K29*L29*0.06)</f>
        <v/>
      </c>
      <c r="R29" s="6">
        <f>IFERROR((H29+I29+J29+Q29)/G29,"")</f>
        <v/>
      </c>
      <c r="S29" s="7">
        <f>IF(B29="","",IF(B29="Não","M0",IF(C29="Não","M1",IF(D29="Caindo","M5",IF(D29="Estável",IF(F29&gt;=2,"M6","M4"),IF(E29&lt;=1,"M2","M3"))))))</f>
        <v/>
      </c>
      <c r="T29" s="8">
        <f>IF(S29="","",S29&amp;" — "&amp;VLOOKUP(S29,ref!$A$2:$F$8,6,FALSE))</f>
        <v/>
      </c>
      <c r="U29" s="7">
        <f>IF($S29="","",VLOOKUP($S29,ref!$A$2:$F$8,2,FALSE))</f>
        <v/>
      </c>
      <c r="V29" s="7">
        <f>IF($S29="","",VLOOKUP($S29,ref!$A$2:$F$8,3,FALSE))</f>
        <v/>
      </c>
      <c r="W29" s="7">
        <f>IF($S29="","",VLOOKUP($S29,ref!$A$2:$F$8,4,FALSE))</f>
        <v/>
      </c>
      <c r="X29" s="7">
        <f>IF($S29="","",VLOOKUP($S29,ref!$A$2:$F$8,5,FALSE))</f>
        <v/>
      </c>
      <c r="Y29" s="7">
        <f>IF($S29="","",U29-M29)</f>
        <v/>
      </c>
      <c r="Z29" s="7">
        <f>IF($S29="","",V29-N29)</f>
        <v/>
      </c>
      <c r="AA29" s="7">
        <f>IF($S29="","",W29-O29)</f>
        <v/>
      </c>
      <c r="AB29" s="7">
        <f>IF($S29="","",X29-P29)</f>
        <v/>
      </c>
      <c r="AC29" s="8">
        <f>IF($S29="","",IF(MAX(Y29:AB29)&lt;=0,"D1 (otimizar)",IF(Y29=MAX(Y29:AB29),"D1 Produtos",IF(AA29=MAX(Y29:AB29),"D3 Afiliados",IF(AB29=MAX(Y29:AB29),"D4 Social","D2 Ads")))))</f>
        <v/>
      </c>
      <c r="AD29" s="9">
        <f>IF(R29="","",IF(R29&lt;=0.2,"🟢 Saudável",IF(R29&lt;=0.35,"🟡 Atenção","🔴 Crítico")))</f>
        <v/>
      </c>
    </row>
    <row r="30">
      <c r="A30" s="3" t="inlineStr">
        <is>
          <t>Deiah Rosa Closet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5">
        <f>IF(K30="","",K30*L30*0.06)</f>
        <v/>
      </c>
      <c r="R30" s="6">
        <f>IFERROR((H30+I30+J30+Q30)/G30,"")</f>
        <v/>
      </c>
      <c r="S30" s="7">
        <f>IF(B30="","",IF(B30="Não","M0",IF(C30="Não","M1",IF(D30="Caindo","M5",IF(D30="Estável",IF(F30&gt;=2,"M6","M4"),IF(E30&lt;=1,"M2","M3"))))))</f>
        <v/>
      </c>
      <c r="T30" s="8">
        <f>IF(S30="","",S30&amp;" — "&amp;VLOOKUP(S30,ref!$A$2:$F$8,6,FALSE))</f>
        <v/>
      </c>
      <c r="U30" s="7">
        <f>IF($S30="","",VLOOKUP($S30,ref!$A$2:$F$8,2,FALSE))</f>
        <v/>
      </c>
      <c r="V30" s="7">
        <f>IF($S30="","",VLOOKUP($S30,ref!$A$2:$F$8,3,FALSE))</f>
        <v/>
      </c>
      <c r="W30" s="7">
        <f>IF($S30="","",VLOOKUP($S30,ref!$A$2:$F$8,4,FALSE))</f>
        <v/>
      </c>
      <c r="X30" s="7">
        <f>IF($S30="","",VLOOKUP($S30,ref!$A$2:$F$8,5,FALSE))</f>
        <v/>
      </c>
      <c r="Y30" s="7">
        <f>IF($S30="","",U30-M30)</f>
        <v/>
      </c>
      <c r="Z30" s="7">
        <f>IF($S30="","",V30-N30)</f>
        <v/>
      </c>
      <c r="AA30" s="7">
        <f>IF($S30="","",W30-O30)</f>
        <v/>
      </c>
      <c r="AB30" s="7">
        <f>IF($S30="","",X30-P30)</f>
        <v/>
      </c>
      <c r="AC30" s="8">
        <f>IF($S30="","",IF(MAX(Y30:AB30)&lt;=0,"D1 (otimizar)",IF(Y30=MAX(Y30:AB30),"D1 Produtos",IF(AA30=MAX(Y30:AB30),"D3 Afiliados",IF(AB30=MAX(Y30:AB30),"D4 Social","D2 Ads")))))</f>
        <v/>
      </c>
      <c r="AD30" s="9">
        <f>IF(R30="","",IF(R30&lt;=0.2,"🟢 Saudável",IF(R30&lt;=0.35,"🟡 Atenção","🔴 Crítico")))</f>
        <v/>
      </c>
    </row>
    <row r="31">
      <c r="A31" s="3" t="inlineStr">
        <is>
          <t>Petra Bags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5">
        <f>IF(K31="","",K31*L31*0.06)</f>
        <v/>
      </c>
      <c r="R31" s="6">
        <f>IFERROR((H31+I31+J31+Q31)/G31,"")</f>
        <v/>
      </c>
      <c r="S31" s="7">
        <f>IF(B31="","",IF(B31="Não","M0",IF(C31="Não","M1",IF(D31="Caindo","M5",IF(D31="Estável",IF(F31&gt;=2,"M6","M4"),IF(E31&lt;=1,"M2","M3"))))))</f>
        <v/>
      </c>
      <c r="T31" s="8">
        <f>IF(S31="","",S31&amp;" — "&amp;VLOOKUP(S31,ref!$A$2:$F$8,6,FALSE))</f>
        <v/>
      </c>
      <c r="U31" s="7">
        <f>IF($S31="","",VLOOKUP($S31,ref!$A$2:$F$8,2,FALSE))</f>
        <v/>
      </c>
      <c r="V31" s="7">
        <f>IF($S31="","",VLOOKUP($S31,ref!$A$2:$F$8,3,FALSE))</f>
        <v/>
      </c>
      <c r="W31" s="7">
        <f>IF($S31="","",VLOOKUP($S31,ref!$A$2:$F$8,4,FALSE))</f>
        <v/>
      </c>
      <c r="X31" s="7">
        <f>IF($S31="","",VLOOKUP($S31,ref!$A$2:$F$8,5,FALSE))</f>
        <v/>
      </c>
      <c r="Y31" s="7">
        <f>IF($S31="","",U31-M31)</f>
        <v/>
      </c>
      <c r="Z31" s="7">
        <f>IF($S31="","",V31-N31)</f>
        <v/>
      </c>
      <c r="AA31" s="7">
        <f>IF($S31="","",W31-O31)</f>
        <v/>
      </c>
      <c r="AB31" s="7">
        <f>IF($S31="","",X31-P31)</f>
        <v/>
      </c>
      <c r="AC31" s="8">
        <f>IF($S31="","",IF(MAX(Y31:AB31)&lt;=0,"D1 (otimizar)",IF(Y31=MAX(Y31:AB31),"D1 Produtos",IF(AA31=MAX(Y31:AB31),"D3 Afiliados",IF(AB31=MAX(Y31:AB31),"D4 Social","D2 Ads")))))</f>
        <v/>
      </c>
      <c r="AD31" s="9">
        <f>IF(R31="","",IF(R31&lt;=0.2,"🟢 Saudável",IF(R31&lt;=0.35,"🟡 Atenção","🔴 Crítico")))</f>
        <v/>
      </c>
    </row>
    <row r="32">
      <c r="A32" s="3" t="inlineStr">
        <is>
          <t>Feel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>
        <f>IF(K32="","",K32*L32*0.06)</f>
        <v/>
      </c>
      <c r="R32" s="6">
        <f>IFERROR((H32+I32+J32+Q32)/G32,"")</f>
        <v/>
      </c>
      <c r="S32" s="7">
        <f>IF(B32="","",IF(B32="Não","M0",IF(C32="Não","M1",IF(D32="Caindo","M5",IF(D32="Estável",IF(F32&gt;=2,"M6","M4"),IF(E32&lt;=1,"M2","M3"))))))</f>
        <v/>
      </c>
      <c r="T32" s="8">
        <f>IF(S32="","",S32&amp;" — "&amp;VLOOKUP(S32,ref!$A$2:$F$8,6,FALSE))</f>
        <v/>
      </c>
      <c r="U32" s="7">
        <f>IF($S32="","",VLOOKUP($S32,ref!$A$2:$F$8,2,FALSE))</f>
        <v/>
      </c>
      <c r="V32" s="7">
        <f>IF($S32="","",VLOOKUP($S32,ref!$A$2:$F$8,3,FALSE))</f>
        <v/>
      </c>
      <c r="W32" s="7">
        <f>IF($S32="","",VLOOKUP($S32,ref!$A$2:$F$8,4,FALSE))</f>
        <v/>
      </c>
      <c r="X32" s="7">
        <f>IF($S32="","",VLOOKUP($S32,ref!$A$2:$F$8,5,FALSE))</f>
        <v/>
      </c>
      <c r="Y32" s="7">
        <f>IF($S32="","",U32-M32)</f>
        <v/>
      </c>
      <c r="Z32" s="7">
        <f>IF($S32="","",V32-N32)</f>
        <v/>
      </c>
      <c r="AA32" s="7">
        <f>IF($S32="","",W32-O32)</f>
        <v/>
      </c>
      <c r="AB32" s="7">
        <f>IF($S32="","",X32-P32)</f>
        <v/>
      </c>
      <c r="AC32" s="8">
        <f>IF($S32="","",IF(MAX(Y32:AB32)&lt;=0,"D1 (otimizar)",IF(Y32=MAX(Y32:AB32),"D1 Produtos",IF(AA32=MAX(Y32:AB32),"D3 Afiliados",IF(AB32=MAX(Y32:AB32),"D4 Social","D2 Ads")))))</f>
        <v/>
      </c>
      <c r="AD32" s="9">
        <f>IF(R32="","",IF(R32&lt;=0.2,"🟢 Saudável",IF(R32&lt;=0.35,"🟡 Atenção","🔴 Crítico")))</f>
        <v/>
      </c>
    </row>
    <row r="33">
      <c r="A33" s="3" t="inlineStr">
        <is>
          <t>Perfit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5">
        <f>IF(K33="","",K33*L33*0.06)</f>
        <v/>
      </c>
      <c r="R33" s="6">
        <f>IFERROR((H33+I33+J33+Q33)/G33,"")</f>
        <v/>
      </c>
      <c r="S33" s="7">
        <f>IF(B33="","",IF(B33="Não","M0",IF(C33="Não","M1",IF(D33="Caindo","M5",IF(D33="Estável",IF(F33&gt;=2,"M6","M4"),IF(E33&lt;=1,"M2","M3"))))))</f>
        <v/>
      </c>
      <c r="T33" s="8">
        <f>IF(S33="","",S33&amp;" — "&amp;VLOOKUP(S33,ref!$A$2:$F$8,6,FALSE))</f>
        <v/>
      </c>
      <c r="U33" s="7">
        <f>IF($S33="","",VLOOKUP($S33,ref!$A$2:$F$8,2,FALSE))</f>
        <v/>
      </c>
      <c r="V33" s="7">
        <f>IF($S33="","",VLOOKUP($S33,ref!$A$2:$F$8,3,FALSE))</f>
        <v/>
      </c>
      <c r="W33" s="7">
        <f>IF($S33="","",VLOOKUP($S33,ref!$A$2:$F$8,4,FALSE))</f>
        <v/>
      </c>
      <c r="X33" s="7">
        <f>IF($S33="","",VLOOKUP($S33,ref!$A$2:$F$8,5,FALSE))</f>
        <v/>
      </c>
      <c r="Y33" s="7">
        <f>IF($S33="","",U33-M33)</f>
        <v/>
      </c>
      <c r="Z33" s="7">
        <f>IF($S33="","",V33-N33)</f>
        <v/>
      </c>
      <c r="AA33" s="7">
        <f>IF($S33="","",W33-O33)</f>
        <v/>
      </c>
      <c r="AB33" s="7">
        <f>IF($S33="","",X33-P33)</f>
        <v/>
      </c>
      <c r="AC33" s="8">
        <f>IF($S33="","",IF(MAX(Y33:AB33)&lt;=0,"D1 (otimizar)",IF(Y33=MAX(Y33:AB33),"D1 Produtos",IF(AA33=MAX(Y33:AB33),"D3 Afiliados",IF(AB33=MAX(Y33:AB33),"D4 Social","D2 Ads")))))</f>
        <v/>
      </c>
      <c r="AD33" s="9">
        <f>IF(R33="","",IF(R33&lt;=0.2,"🟢 Saudável",IF(R33&lt;=0.35,"🟡 Atenção","🔴 Crítico")))</f>
        <v/>
      </c>
    </row>
    <row r="34">
      <c r="A34" s="3" t="inlineStr">
        <is>
          <t>Beroc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>
        <f>IF(K34="","",K34*L34*0.06)</f>
        <v/>
      </c>
      <c r="R34" s="6">
        <f>IFERROR((H34+I34+J34+Q34)/G34,"")</f>
        <v/>
      </c>
      <c r="S34" s="7">
        <f>IF(B34="","",IF(B34="Não","M0",IF(C34="Não","M1",IF(D34="Caindo","M5",IF(D34="Estável",IF(F34&gt;=2,"M6","M4"),IF(E34&lt;=1,"M2","M3"))))))</f>
        <v/>
      </c>
      <c r="T34" s="8">
        <f>IF(S34="","",S34&amp;" — "&amp;VLOOKUP(S34,ref!$A$2:$F$8,6,FALSE))</f>
        <v/>
      </c>
      <c r="U34" s="7">
        <f>IF($S34="","",VLOOKUP($S34,ref!$A$2:$F$8,2,FALSE))</f>
        <v/>
      </c>
      <c r="V34" s="7">
        <f>IF($S34="","",VLOOKUP($S34,ref!$A$2:$F$8,3,FALSE))</f>
        <v/>
      </c>
      <c r="W34" s="7">
        <f>IF($S34="","",VLOOKUP($S34,ref!$A$2:$F$8,4,FALSE))</f>
        <v/>
      </c>
      <c r="X34" s="7">
        <f>IF($S34="","",VLOOKUP($S34,ref!$A$2:$F$8,5,FALSE))</f>
        <v/>
      </c>
      <c r="Y34" s="7">
        <f>IF($S34="","",U34-M34)</f>
        <v/>
      </c>
      <c r="Z34" s="7">
        <f>IF($S34="","",V34-N34)</f>
        <v/>
      </c>
      <c r="AA34" s="7">
        <f>IF($S34="","",W34-O34)</f>
        <v/>
      </c>
      <c r="AB34" s="7">
        <f>IF($S34="","",X34-P34)</f>
        <v/>
      </c>
      <c r="AC34" s="8">
        <f>IF($S34="","",IF(MAX(Y34:AB34)&lt;=0,"D1 (otimizar)",IF(Y34=MAX(Y34:AB34),"D1 Produtos",IF(AA34=MAX(Y34:AB34),"D3 Afiliados",IF(AB34=MAX(Y34:AB34),"D4 Social","D2 Ads")))))</f>
        <v/>
      </c>
      <c r="AD34" s="9">
        <f>IF(R34="","",IF(R34&lt;=0.2,"🟢 Saudável",IF(R34&lt;=0.35,"🟡 Atenção","🔴 Crítico")))</f>
        <v/>
      </c>
    </row>
    <row r="35">
      <c r="A35" s="3" t="inlineStr">
        <is>
          <t>PeachUp</t>
        </is>
      </c>
      <c r="B35" s="4" t="inlineStr">
        <is>
          <t>Sim</t>
        </is>
      </c>
      <c r="C35" s="4" t="inlineStr">
        <is>
          <t>Sim</t>
        </is>
      </c>
      <c r="D35" s="4" t="inlineStr">
        <is>
          <t>Crescendo</t>
        </is>
      </c>
      <c r="E35" s="4" t="n">
        <v>1</v>
      </c>
      <c r="F35" s="4" t="n">
        <v>0</v>
      </c>
      <c r="G35" s="4" t="n">
        <v>10662</v>
      </c>
      <c r="H35" s="4" t="n">
        <v>0</v>
      </c>
      <c r="I35" s="4" t="n">
        <v>0</v>
      </c>
      <c r="J35" s="4" t="n">
        <v>0</v>
      </c>
      <c r="K35" s="4" t="n">
        <v>834</v>
      </c>
      <c r="L35" s="4" t="n">
        <v>219</v>
      </c>
      <c r="M35" s="4" t="n">
        <v>2.5</v>
      </c>
      <c r="N35" s="4" t="n">
        <v>1.5</v>
      </c>
      <c r="O35" s="4" t="n">
        <v>3.5</v>
      </c>
      <c r="P35" s="4" t="n">
        <v>2.5</v>
      </c>
      <c r="Q35" s="5">
        <f>IF(K35="","",K35*L35*0.06)</f>
        <v/>
      </c>
      <c r="R35" s="6">
        <f>IFERROR((H35+I35+J35+Q35)/G35,"")</f>
        <v/>
      </c>
      <c r="S35" s="7">
        <f>IF(B35="","",IF(B35="Não","M0",IF(C35="Não","M1",IF(D35="Caindo","M5",IF(D35="Estável",IF(F35&gt;=2,"M6","M4"),IF(E35&lt;=1,"M2","M3"))))))</f>
        <v/>
      </c>
      <c r="T35" s="8">
        <f>IF(S35="","",S35&amp;" — "&amp;VLOOKUP(S35,ref!$A$2:$F$8,6,FALSE))</f>
        <v/>
      </c>
      <c r="U35" s="7">
        <f>IF($S35="","",VLOOKUP($S35,ref!$A$2:$F$8,2,FALSE))</f>
        <v/>
      </c>
      <c r="V35" s="7">
        <f>IF($S35="","",VLOOKUP($S35,ref!$A$2:$F$8,3,FALSE))</f>
        <v/>
      </c>
      <c r="W35" s="7">
        <f>IF($S35="","",VLOOKUP($S35,ref!$A$2:$F$8,4,FALSE))</f>
        <v/>
      </c>
      <c r="X35" s="7">
        <f>IF($S35="","",VLOOKUP($S35,ref!$A$2:$F$8,5,FALSE))</f>
        <v/>
      </c>
      <c r="Y35" s="7">
        <f>IF($S35="","",U35-M35)</f>
        <v/>
      </c>
      <c r="Z35" s="7">
        <f>IF($S35="","",V35-N35)</f>
        <v/>
      </c>
      <c r="AA35" s="7">
        <f>IF($S35="","",W35-O35)</f>
        <v/>
      </c>
      <c r="AB35" s="7">
        <f>IF($S35="","",X35-P35)</f>
        <v/>
      </c>
      <c r="AC35" s="8">
        <f>IF($S35="","",IF(MAX(Y35:AB35)&lt;=0,"D1 (otimizar)",IF(Y35=MAX(Y35:AB35),"D1 Produtos",IF(AA35=MAX(Y35:AB35),"D3 Afiliados",IF(AB35=MAX(Y35:AB35),"D4 Social","D2 Ads")))))</f>
        <v/>
      </c>
      <c r="AD35" s="9">
        <f>IF(R35="","",IF(R35&lt;=0.2,"🟢 Saudável",IF(R35&lt;=0.35,"🟡 Atenção","🔴 Crítico")))</f>
        <v/>
      </c>
    </row>
    <row r="36">
      <c r="A36" s="3" t="inlineStr">
        <is>
          <t>Pharma e Natural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>
        <f>IF(K36="","",K36*L36*0.06)</f>
        <v/>
      </c>
      <c r="R36" s="6">
        <f>IFERROR((H36+I36+J36+Q36)/G36,"")</f>
        <v/>
      </c>
      <c r="S36" s="7">
        <f>IF(B36="","",IF(B36="Não","M0",IF(C36="Não","M1",IF(D36="Caindo","M5",IF(D36="Estável",IF(F36&gt;=2,"M6","M4"),IF(E36&lt;=1,"M2","M3"))))))</f>
        <v/>
      </c>
      <c r="T36" s="8">
        <f>IF(S36="","",S36&amp;" — "&amp;VLOOKUP(S36,ref!$A$2:$F$8,6,FALSE))</f>
        <v/>
      </c>
      <c r="U36" s="7">
        <f>IF($S36="","",VLOOKUP($S36,ref!$A$2:$F$8,2,FALSE))</f>
        <v/>
      </c>
      <c r="V36" s="7">
        <f>IF($S36="","",VLOOKUP($S36,ref!$A$2:$F$8,3,FALSE))</f>
        <v/>
      </c>
      <c r="W36" s="7">
        <f>IF($S36="","",VLOOKUP($S36,ref!$A$2:$F$8,4,FALSE))</f>
        <v/>
      </c>
      <c r="X36" s="7">
        <f>IF($S36="","",VLOOKUP($S36,ref!$A$2:$F$8,5,FALSE))</f>
        <v/>
      </c>
      <c r="Y36" s="7">
        <f>IF($S36="","",U36-M36)</f>
        <v/>
      </c>
      <c r="Z36" s="7">
        <f>IF($S36="","",V36-N36)</f>
        <v/>
      </c>
      <c r="AA36" s="7">
        <f>IF($S36="","",W36-O36)</f>
        <v/>
      </c>
      <c r="AB36" s="7">
        <f>IF($S36="","",X36-P36)</f>
        <v/>
      </c>
      <c r="AC36" s="8">
        <f>IF($S36="","",IF(MAX(Y36:AB36)&lt;=0,"D1 (otimizar)",IF(Y36=MAX(Y36:AB36),"D1 Produtos",IF(AA36=MAX(Y36:AB36),"D3 Afiliados",IF(AB36=MAX(Y36:AB36),"D4 Social","D2 Ads")))))</f>
        <v/>
      </c>
      <c r="AD36" s="9">
        <f>IF(R36="","",IF(R36&lt;=0.2,"🟢 Saudável",IF(R36&lt;=0.35,"🟡 Atenção","🔴 Crítico")))</f>
        <v/>
      </c>
    </row>
    <row r="37">
      <c r="A37" s="3" t="inlineStr">
        <is>
          <t>Mossy Brand</t>
        </is>
      </c>
      <c r="B37" s="4" t="inlineStr">
        <is>
          <t>Sim</t>
        </is>
      </c>
      <c r="C37" s="4" t="inlineStr">
        <is>
          <t>Sim</t>
        </is>
      </c>
      <c r="D37" s="4" t="inlineStr">
        <is>
          <t>Crescendo</t>
        </is>
      </c>
      <c r="E37" s="4" t="n">
        <v>3</v>
      </c>
      <c r="F37" s="4" t="n">
        <v>2</v>
      </c>
      <c r="G37" s="4" t="n">
        <v>46986</v>
      </c>
      <c r="H37" s="4" t="n">
        <v>4651</v>
      </c>
      <c r="I37" s="4" t="n">
        <v>2794</v>
      </c>
      <c r="J37" s="4" t="n">
        <v>0</v>
      </c>
      <c r="K37" s="4" t="n">
        <v>22</v>
      </c>
      <c r="L37" s="4" t="n">
        <v>120</v>
      </c>
      <c r="M37" s="4" t="n">
        <v>3</v>
      </c>
      <c r="N37" s="4" t="n">
        <v>4.5</v>
      </c>
      <c r="O37" s="4" t="n">
        <v>4</v>
      </c>
      <c r="P37" s="4" t="n">
        <v>3</v>
      </c>
      <c r="Q37" s="5">
        <f>IF(K37="","",K37*L37*0.06)</f>
        <v/>
      </c>
      <c r="R37" s="6">
        <f>IFERROR((H37+I37+J37+Q37)/G37,"")</f>
        <v/>
      </c>
      <c r="S37" s="7">
        <f>IF(B37="","",IF(B37="Não","M0",IF(C37="Não","M1",IF(D37="Caindo","M5",IF(D37="Estável",IF(F37&gt;=2,"M6","M4"),IF(E37&lt;=1,"M2","M3"))))))</f>
        <v/>
      </c>
      <c r="T37" s="8">
        <f>IF(S37="","",S37&amp;" — "&amp;VLOOKUP(S37,ref!$A$2:$F$8,6,FALSE))</f>
        <v/>
      </c>
      <c r="U37" s="7">
        <f>IF($S37="","",VLOOKUP($S37,ref!$A$2:$F$8,2,FALSE))</f>
        <v/>
      </c>
      <c r="V37" s="7">
        <f>IF($S37="","",VLOOKUP($S37,ref!$A$2:$F$8,3,FALSE))</f>
        <v/>
      </c>
      <c r="W37" s="7">
        <f>IF($S37="","",VLOOKUP($S37,ref!$A$2:$F$8,4,FALSE))</f>
        <v/>
      </c>
      <c r="X37" s="7">
        <f>IF($S37="","",VLOOKUP($S37,ref!$A$2:$F$8,5,FALSE))</f>
        <v/>
      </c>
      <c r="Y37" s="7">
        <f>IF($S37="","",U37-M37)</f>
        <v/>
      </c>
      <c r="Z37" s="7">
        <f>IF($S37="","",V37-N37)</f>
        <v/>
      </c>
      <c r="AA37" s="7">
        <f>IF($S37="","",W37-O37)</f>
        <v/>
      </c>
      <c r="AB37" s="7">
        <f>IF($S37="","",X37-P37)</f>
        <v/>
      </c>
      <c r="AC37" s="8">
        <f>IF($S37="","",IF(MAX(Y37:AB37)&lt;=0,"D1 (otimizar)",IF(Y37=MAX(Y37:AB37),"D1 Produtos",IF(AA37=MAX(Y37:AB37),"D3 Afiliados",IF(AB37=MAX(Y37:AB37),"D4 Social","D2 Ads")))))</f>
        <v/>
      </c>
      <c r="AD37" s="9">
        <f>IF(R37="","",IF(R37&lt;=0.2,"🟢 Saudável",IF(R37&lt;=0.35,"🟡 Atenção","🔴 Crítico")))</f>
        <v/>
      </c>
    </row>
    <row r="38">
      <c r="A38" s="3" t="inlineStr">
        <is>
          <t>Zenaví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>
        <f>IF(K38="","",K38*L38*0.06)</f>
        <v/>
      </c>
      <c r="R38" s="6">
        <f>IFERROR((H38+I38+J38+Q38)/G38,"")</f>
        <v/>
      </c>
      <c r="S38" s="7">
        <f>IF(B38="","",IF(B38="Não","M0",IF(C38="Não","M1",IF(D38="Caindo","M5",IF(D38="Estável",IF(F38&gt;=2,"M6","M4"),IF(E38&lt;=1,"M2","M3"))))))</f>
        <v/>
      </c>
      <c r="T38" s="8">
        <f>IF(S38="","",S38&amp;" — "&amp;VLOOKUP(S38,ref!$A$2:$F$8,6,FALSE))</f>
        <v/>
      </c>
      <c r="U38" s="7">
        <f>IF($S38="","",VLOOKUP($S38,ref!$A$2:$F$8,2,FALSE))</f>
        <v/>
      </c>
      <c r="V38" s="7">
        <f>IF($S38="","",VLOOKUP($S38,ref!$A$2:$F$8,3,FALSE))</f>
        <v/>
      </c>
      <c r="W38" s="7">
        <f>IF($S38="","",VLOOKUP($S38,ref!$A$2:$F$8,4,FALSE))</f>
        <v/>
      </c>
      <c r="X38" s="7">
        <f>IF($S38="","",VLOOKUP($S38,ref!$A$2:$F$8,5,FALSE))</f>
        <v/>
      </c>
      <c r="Y38" s="7">
        <f>IF($S38="","",U38-M38)</f>
        <v/>
      </c>
      <c r="Z38" s="7">
        <f>IF($S38="","",V38-N38)</f>
        <v/>
      </c>
      <c r="AA38" s="7">
        <f>IF($S38="","",W38-O38)</f>
        <v/>
      </c>
      <c r="AB38" s="7">
        <f>IF($S38="","",X38-P38)</f>
        <v/>
      </c>
      <c r="AC38" s="8">
        <f>IF($S38="","",IF(MAX(Y38:AB38)&lt;=0,"D1 (otimizar)",IF(Y38=MAX(Y38:AB38),"D1 Produtos",IF(AA38=MAX(Y38:AB38),"D3 Afiliados",IF(AB38=MAX(Y38:AB38),"D4 Social","D2 Ads")))))</f>
        <v/>
      </c>
      <c r="AD38" s="9">
        <f>IF(R38="","",IF(R38&lt;=0.2,"🟢 Saudável",IF(R38&lt;=0.35,"🟡 Atenção","🔴 Crítico")))</f>
        <v/>
      </c>
    </row>
    <row r="39">
      <c r="A39" s="3" t="inlineStr">
        <is>
          <t>Bothanico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5">
        <f>IF(K39="","",K39*L39*0.06)</f>
        <v/>
      </c>
      <c r="R39" s="6">
        <f>IFERROR((H39+I39+J39+Q39)/G39,"")</f>
        <v/>
      </c>
      <c r="S39" s="7">
        <f>IF(B39="","",IF(B39="Não","M0",IF(C39="Não","M1",IF(D39="Caindo","M5",IF(D39="Estável",IF(F39&gt;=2,"M6","M4"),IF(E39&lt;=1,"M2","M3"))))))</f>
        <v/>
      </c>
      <c r="T39" s="8">
        <f>IF(S39="","",S39&amp;" — "&amp;VLOOKUP(S39,ref!$A$2:$F$8,6,FALSE))</f>
        <v/>
      </c>
      <c r="U39" s="7">
        <f>IF($S39="","",VLOOKUP($S39,ref!$A$2:$F$8,2,FALSE))</f>
        <v/>
      </c>
      <c r="V39" s="7">
        <f>IF($S39="","",VLOOKUP($S39,ref!$A$2:$F$8,3,FALSE))</f>
        <v/>
      </c>
      <c r="W39" s="7">
        <f>IF($S39="","",VLOOKUP($S39,ref!$A$2:$F$8,4,FALSE))</f>
        <v/>
      </c>
      <c r="X39" s="7">
        <f>IF($S39="","",VLOOKUP($S39,ref!$A$2:$F$8,5,FALSE))</f>
        <v/>
      </c>
      <c r="Y39" s="7">
        <f>IF($S39="","",U39-M39)</f>
        <v/>
      </c>
      <c r="Z39" s="7">
        <f>IF($S39="","",V39-N39)</f>
        <v/>
      </c>
      <c r="AA39" s="7">
        <f>IF($S39="","",W39-O39)</f>
        <v/>
      </c>
      <c r="AB39" s="7">
        <f>IF($S39="","",X39-P39)</f>
        <v/>
      </c>
      <c r="AC39" s="8">
        <f>IF($S39="","",IF(MAX(Y39:AB39)&lt;=0,"D1 (otimizar)",IF(Y39=MAX(Y39:AB39),"D1 Produtos",IF(AA39=MAX(Y39:AB39),"D3 Afiliados",IF(AB39=MAX(Y39:AB39),"D4 Social","D2 Ads")))))</f>
        <v/>
      </c>
      <c r="AD39" s="9">
        <f>IF(R39="","",IF(R39&lt;=0.2,"🟢 Saudável",IF(R39&lt;=0.35,"🟡 Atenção","🔴 Crítico")))</f>
        <v/>
      </c>
    </row>
    <row r="40">
      <c r="A40" s="3" t="inlineStr">
        <is>
          <t>Eumemo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5">
        <f>IF(K40="","",K40*L40*0.06)</f>
        <v/>
      </c>
      <c r="R40" s="6">
        <f>IFERROR((H40+I40+J40+Q40)/G40,"")</f>
        <v/>
      </c>
      <c r="S40" s="7">
        <f>IF(B40="","",IF(B40="Não","M0",IF(C40="Não","M1",IF(D40="Caindo","M5",IF(D40="Estável",IF(F40&gt;=2,"M6","M4"),IF(E40&lt;=1,"M2","M3"))))))</f>
        <v/>
      </c>
      <c r="T40" s="8">
        <f>IF(S40="","",S40&amp;" — "&amp;VLOOKUP(S40,ref!$A$2:$F$8,6,FALSE))</f>
        <v/>
      </c>
      <c r="U40" s="7">
        <f>IF($S40="","",VLOOKUP($S40,ref!$A$2:$F$8,2,FALSE))</f>
        <v/>
      </c>
      <c r="V40" s="7">
        <f>IF($S40="","",VLOOKUP($S40,ref!$A$2:$F$8,3,FALSE))</f>
        <v/>
      </c>
      <c r="W40" s="7">
        <f>IF($S40="","",VLOOKUP($S40,ref!$A$2:$F$8,4,FALSE))</f>
        <v/>
      </c>
      <c r="X40" s="7">
        <f>IF($S40="","",VLOOKUP($S40,ref!$A$2:$F$8,5,FALSE))</f>
        <v/>
      </c>
      <c r="Y40" s="7">
        <f>IF($S40="","",U40-M40)</f>
        <v/>
      </c>
      <c r="Z40" s="7">
        <f>IF($S40="","",V40-N40)</f>
        <v/>
      </c>
      <c r="AA40" s="7">
        <f>IF($S40="","",W40-O40)</f>
        <v/>
      </c>
      <c r="AB40" s="7">
        <f>IF($S40="","",X40-P40)</f>
        <v/>
      </c>
      <c r="AC40" s="8">
        <f>IF($S40="","",IF(MAX(Y40:AB40)&lt;=0,"D1 (otimizar)",IF(Y40=MAX(Y40:AB40),"D1 Produtos",IF(AA40=MAX(Y40:AB40),"D3 Afiliados",IF(AB40=MAX(Y40:AB40),"D4 Social","D2 Ads")))))</f>
        <v/>
      </c>
      <c r="AD40" s="9">
        <f>IF(R40="","",IF(R40&lt;=0.2,"🟢 Saudável",IF(R40&lt;=0.35,"🟡 Atenção","🔴 Crítico")))</f>
        <v/>
      </c>
    </row>
    <row r="41">
      <c r="A41" s="3" t="inlineStr">
        <is>
          <t>Gabee Joias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5">
        <f>IF(K41="","",K41*L41*0.06)</f>
        <v/>
      </c>
      <c r="R41" s="6">
        <f>IFERROR((H41+I41+J41+Q41)/G41,"")</f>
        <v/>
      </c>
      <c r="S41" s="7">
        <f>IF(B41="","",IF(B41="Não","M0",IF(C41="Não","M1",IF(D41="Caindo","M5",IF(D41="Estável",IF(F41&gt;=2,"M6","M4"),IF(E41&lt;=1,"M2","M3"))))))</f>
        <v/>
      </c>
      <c r="T41" s="8">
        <f>IF(S41="","",S41&amp;" — "&amp;VLOOKUP(S41,ref!$A$2:$F$8,6,FALSE))</f>
        <v/>
      </c>
      <c r="U41" s="7">
        <f>IF($S41="","",VLOOKUP($S41,ref!$A$2:$F$8,2,FALSE))</f>
        <v/>
      </c>
      <c r="V41" s="7">
        <f>IF($S41="","",VLOOKUP($S41,ref!$A$2:$F$8,3,FALSE))</f>
        <v/>
      </c>
      <c r="W41" s="7">
        <f>IF($S41="","",VLOOKUP($S41,ref!$A$2:$F$8,4,FALSE))</f>
        <v/>
      </c>
      <c r="X41" s="7">
        <f>IF($S41="","",VLOOKUP($S41,ref!$A$2:$F$8,5,FALSE))</f>
        <v/>
      </c>
      <c r="Y41" s="7">
        <f>IF($S41="","",U41-M41)</f>
        <v/>
      </c>
      <c r="Z41" s="7">
        <f>IF($S41="","",V41-N41)</f>
        <v/>
      </c>
      <c r="AA41" s="7">
        <f>IF($S41="","",W41-O41)</f>
        <v/>
      </c>
      <c r="AB41" s="7">
        <f>IF($S41="","",X41-P41)</f>
        <v/>
      </c>
      <c r="AC41" s="8">
        <f>IF($S41="","",IF(MAX(Y41:AB41)&lt;=0,"D1 (otimizar)",IF(Y41=MAX(Y41:AB41),"D1 Produtos",IF(AA41=MAX(Y41:AB41),"D3 Afiliados",IF(AB41=MAX(Y41:AB41),"D4 Social","D2 Ads")))))</f>
        <v/>
      </c>
      <c r="AD41" s="9">
        <f>IF(R41="","",IF(R41&lt;=0.2,"🟢 Saudável",IF(R41&lt;=0.35,"🟡 Atenção","🔴 Crítico")))</f>
        <v/>
      </c>
    </row>
    <row r="42">
      <c r="A42" s="3" t="inlineStr">
        <is>
          <t>Kah Decor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5">
        <f>IF(K42="","",K42*L42*0.06)</f>
        <v/>
      </c>
      <c r="R42" s="6">
        <f>IFERROR((H42+I42+J42+Q42)/G42,"")</f>
        <v/>
      </c>
      <c r="S42" s="7">
        <f>IF(B42="","",IF(B42="Não","M0",IF(C42="Não","M1",IF(D42="Caindo","M5",IF(D42="Estável",IF(F42&gt;=2,"M6","M4"),IF(E42&lt;=1,"M2","M3"))))))</f>
        <v/>
      </c>
      <c r="T42" s="8">
        <f>IF(S42="","",S42&amp;" — "&amp;VLOOKUP(S42,ref!$A$2:$F$8,6,FALSE))</f>
        <v/>
      </c>
      <c r="U42" s="7">
        <f>IF($S42="","",VLOOKUP($S42,ref!$A$2:$F$8,2,FALSE))</f>
        <v/>
      </c>
      <c r="V42" s="7">
        <f>IF($S42="","",VLOOKUP($S42,ref!$A$2:$F$8,3,FALSE))</f>
        <v/>
      </c>
      <c r="W42" s="7">
        <f>IF($S42="","",VLOOKUP($S42,ref!$A$2:$F$8,4,FALSE))</f>
        <v/>
      </c>
      <c r="X42" s="7">
        <f>IF($S42="","",VLOOKUP($S42,ref!$A$2:$F$8,5,FALSE))</f>
        <v/>
      </c>
      <c r="Y42" s="7">
        <f>IF($S42="","",U42-M42)</f>
        <v/>
      </c>
      <c r="Z42" s="7">
        <f>IF($S42="","",V42-N42)</f>
        <v/>
      </c>
      <c r="AA42" s="7">
        <f>IF($S42="","",W42-O42)</f>
        <v/>
      </c>
      <c r="AB42" s="7">
        <f>IF($S42="","",X42-P42)</f>
        <v/>
      </c>
      <c r="AC42" s="8">
        <f>IF($S42="","",IF(MAX(Y42:AB42)&lt;=0,"D1 (otimizar)",IF(Y42=MAX(Y42:AB42),"D1 Produtos",IF(AA42=MAX(Y42:AB42),"D3 Afiliados",IF(AB42=MAX(Y42:AB42),"D4 Social","D2 Ads")))))</f>
        <v/>
      </c>
      <c r="AD42" s="9">
        <f>IF(R42="","",IF(R42&lt;=0.2,"🟢 Saudável",IF(R42&lt;=0.35,"🟡 Atenção","🔴 Crítico")))</f>
        <v/>
      </c>
    </row>
  </sheetData>
  <dataValidations count="4">
    <dataValidation sqref="B2:B42 C2:C42" showDropDown="0" showInputMessage="0" showErrorMessage="0" allowBlank="1" type="list">
      <formula1>"Sim,Não"</formula1>
    </dataValidation>
    <dataValidation sqref="D2:D42" showDropDown="0" showInputMessage="0" showErrorMessage="0" allowBlank="1" type="list">
      <formula1>"Crescendo,Estável,Caindo"</formula1>
    </dataValidation>
    <dataValidation sqref="E2:F42" showDropDown="0" showInputMessage="0" showErrorMessage="0" allowBlank="1" type="whole" operator="between">
      <formula1>0</formula1>
      <formula2>4</formula2>
    </dataValidation>
    <dataValidation sqref="M2:P42" showDropDown="0" showInputMessage="0" showErrorMessage="0" allowBlank="1" type="decimal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Nome</t>
        </is>
      </c>
    </row>
    <row r="2">
      <c r="A2" t="inlineStr">
        <is>
          <t>M0</t>
        </is>
      </c>
      <c r="B2" t="n">
        <v>3</v>
      </c>
      <c r="C2" t="n">
        <v>0</v>
      </c>
      <c r="D2" t="n">
        <v>0.5</v>
      </c>
      <c r="E2" t="n">
        <v>1</v>
      </c>
      <c r="F2" t="inlineStr">
        <is>
          <t>Probatório</t>
        </is>
      </c>
    </row>
    <row r="3">
      <c r="A3" t="inlineStr">
        <is>
          <t>M1</t>
        </is>
      </c>
      <c r="B3" t="n">
        <v>3.5</v>
      </c>
      <c r="C3" t="n">
        <v>1</v>
      </c>
      <c r="D3" t="n">
        <v>2</v>
      </c>
      <c r="E3" t="n">
        <v>2</v>
      </c>
      <c r="F3" t="inlineStr">
        <is>
          <t>Lançamento</t>
        </is>
      </c>
    </row>
    <row r="4">
      <c r="A4" t="inlineStr">
        <is>
          <t>M2</t>
        </is>
      </c>
      <c r="B4" t="n">
        <v>4</v>
      </c>
      <c r="C4" t="n">
        <v>2</v>
      </c>
      <c r="D4" t="n">
        <v>3</v>
      </c>
      <c r="E4" t="n">
        <v>2.5</v>
      </c>
      <c r="F4" t="inlineStr">
        <is>
          <t>Tração inicial</t>
        </is>
      </c>
    </row>
    <row r="5">
      <c r="A5" t="inlineStr">
        <is>
          <t>M3</t>
        </is>
      </c>
      <c r="B5" t="n">
        <v>4</v>
      </c>
      <c r="C5" t="n">
        <v>3.5</v>
      </c>
      <c r="D5" t="n">
        <v>4</v>
      </c>
      <c r="E5" t="n">
        <v>3</v>
      </c>
      <c r="F5" t="inlineStr">
        <is>
          <t>Escala</t>
        </is>
      </c>
    </row>
    <row r="6">
      <c r="A6" t="inlineStr">
        <is>
          <t>M4</t>
        </is>
      </c>
      <c r="B6" t="n">
        <v>4</v>
      </c>
      <c r="C6" t="n">
        <v>4</v>
      </c>
      <c r="D6" t="n">
        <v>4</v>
      </c>
      <c r="E6" t="n">
        <v>3.5</v>
      </c>
      <c r="F6" t="inlineStr">
        <is>
          <t>Platô</t>
        </is>
      </c>
    </row>
    <row r="7">
      <c r="A7" t="inlineStr">
        <is>
          <t>M5</t>
        </is>
      </c>
      <c r="B7" t="n">
        <v>4</v>
      </c>
      <c r="C7" t="n">
        <v>3</v>
      </c>
      <c r="D7" t="n">
        <v>3.5</v>
      </c>
      <c r="E7" t="n">
        <v>3</v>
      </c>
      <c r="F7" t="inlineStr">
        <is>
          <t>Crise/Queda</t>
        </is>
      </c>
    </row>
    <row r="8">
      <c r="A8" t="inlineStr">
        <is>
          <t>M6</t>
        </is>
      </c>
      <c r="B8" t="n">
        <v>5</v>
      </c>
      <c r="C8" t="n">
        <v>4</v>
      </c>
      <c r="D8" t="n">
        <v>4.5</v>
      </c>
      <c r="E8" t="n">
        <v>4</v>
      </c>
      <c r="F8" t="inlineStr">
        <is>
          <t>Maturidade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PAINEL DE PORTFÓLIO 4D — COMO USAR</t>
        </is>
      </c>
    </row>
    <row r="2">
      <c r="A2" s="11" t="inlineStr"/>
    </row>
    <row r="3">
      <c r="A3" s="11" t="inlineStr">
        <is>
          <t>1. Preencha as células AMARELAS de cada conta na aba 'Painel'. As colunas escondidas e as de fundo cinza calculam sozinhas.</t>
        </is>
      </c>
    </row>
    <row r="4">
      <c r="A4" s="11" t="inlineStr">
        <is>
          <t>2. Para classificar o MOMENTO bastam 5 campos: Loja vende? · Hero? · Tendência GMV · Ativas · Maduras.</t>
        </is>
      </c>
    </row>
    <row r="5">
      <c r="A5" s="11" t="inlineStr">
        <is>
          <t>3. Para o CT% preencha: GMV total · Ads · Comissões · Lives · Nº amostras · Valor nominal (custo de amostra = nº × nominal × 6%).</t>
        </is>
      </c>
    </row>
    <row r="6">
      <c r="A6" s="11" t="inlineStr">
        <is>
          <t>4. Para o scorecard dê notas 0–5 em D1, D2, D3, D4 (0 inexistente · 3 ok · 5 referência).</t>
        </is>
      </c>
    </row>
    <row r="7">
      <c r="A7" s="11" t="inlineStr">
        <is>
          <t>5. Saídas automáticas: MOMENTO · CT% · DIMENSÃO PRIORITÁRIA · Zona CT%.</t>
        </is>
      </c>
    </row>
    <row r="8">
      <c r="A8" s="11" t="inlineStr"/>
    </row>
    <row r="9">
      <c r="A9" s="11" t="inlineStr">
        <is>
          <t>Régua 0–5: 0 inexistente · 1 iniciando · 2 fraco · 3 ok · 4 forte · 5 referência.</t>
        </is>
      </c>
    </row>
    <row r="10">
      <c r="A10" s="11" t="inlineStr">
        <is>
          <t>Tendência: use sua leitura das últimas semanas (não precisa do histórico de faturamento).</t>
        </is>
      </c>
    </row>
    <row r="11">
      <c r="A11" s="11" t="inlineStr">
        <is>
          <t>PeachUp e Mossy Brand já vêm preenchidas como exemplo (as 2 contas já classificadas).</t>
        </is>
      </c>
    </row>
    <row r="12">
      <c r="A12" s="11" t="inlineStr">
        <is>
          <t>Onde achar cada dado: ver o Guia de Coleta (Fluxo de Classificacao/Guia de Coleta).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2026-06-12T04:35:47Z</dcterms:created>
  <dcterms:modified xmlns:dcterms="http://purl.org/dc/terms/" xmlns:xsi="http://www.w3.org/2001/XMLSchema-instance" xsi:type="dcterms:W3CDTF">2026-06-12T04:35:47Z</dcterms:modified>
</cp:coreProperties>
</file>