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 Shop Analytics" sheetId="1" state="visible" r:id="rId1"/>
    <sheet xmlns:r="http://schemas.openxmlformats.org/officeDocument/2006/relationships" name="SC Product list" sheetId="2" state="visible" r:id="rId2"/>
    <sheet xmlns:r="http://schemas.openxmlformats.org/officeDocument/2006/relationships" name="SC Creator List" sheetId="3" state="visible" r:id="rId3"/>
    <sheet xmlns:r="http://schemas.openxmlformats.org/officeDocument/2006/relationships" name="SC affiliate_orders" sheetId="4" state="visible" r:id="rId4"/>
    <sheet xmlns:r="http://schemas.openxmlformats.org/officeDocument/2006/relationships" name="SC Sample" sheetId="5" state="visible" r:id="rId5"/>
    <sheet xmlns:r="http://schemas.openxmlformats.org/officeDocument/2006/relationships" name="SC Ads" sheetId="6" state="visible" r:id="rId6"/>
    <sheet xmlns:r="http://schemas.openxmlformats.org/officeDocument/2006/relationships" name="FM Produtos" sheetId="7" state="visible" r:id="rId7"/>
    <sheet xmlns:r="http://schemas.openxmlformats.org/officeDocument/2006/relationships" name="FM Creators" sheetId="8" state="visible" r:id="rId8"/>
    <sheet xmlns:r="http://schemas.openxmlformats.org/officeDocument/2006/relationships" name="Resumo Exports" sheetId="9" state="visible" r:id="rId9"/>
    <sheet xmlns:r="http://schemas.openxmlformats.org/officeDocument/2006/relationships" name="Entrada" sheetId="10" state="visible" r:id="rId10"/>
    <sheet xmlns:r="http://schemas.openxmlformats.org/officeDocument/2006/relationships" name="Classificaçã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&quot;x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66666"/>
      <sz val="9"/>
    </font>
    <font>
      <name val="Calibri"/>
      <b val="1"/>
      <color rgb="000F2B3A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FFFFFF"/>
      <sz val="11"/>
    </font>
    <font>
      <name val="Calibri"/>
      <b val="1"/>
      <color rgb="000F2B3A"/>
      <sz val="12"/>
    </font>
    <font>
      <name val="Calibri"/>
      <b val="1"/>
      <color rgb="00999999"/>
      <sz val="9"/>
    </font>
    <font>
      <name val="Calibri"/>
      <color rgb="00999999"/>
      <sz val="9"/>
    </font>
    <font>
      <name val="Calibri"/>
      <color rgb="00AAAAAA"/>
      <sz val="8"/>
    </font>
    <font>
      <name val="Calibri"/>
      <color rgb="00996600"/>
      <sz val="9"/>
    </font>
    <font>
      <name val="Calibri"/>
      <color rgb="002E7D32"/>
      <sz val="9"/>
    </font>
    <font>
      <name val="Calibri"/>
      <color rgb="000F2B3A"/>
      <sz val="9"/>
    </font>
  </fonts>
  <fills count="8">
    <fill>
      <patternFill/>
    </fill>
    <fill>
      <patternFill patternType="gray125"/>
    </fill>
    <fill>
      <patternFill patternType="solid">
        <fgColor rgb="000F2B3A"/>
      </patternFill>
    </fill>
    <fill>
      <patternFill patternType="solid">
        <fgColor rgb="007EC8E3"/>
      </patternFill>
    </fill>
    <fill>
      <patternFill patternType="solid">
        <fgColor rgb="00FFF7CC"/>
      </patternFill>
    </fill>
    <fill>
      <patternFill patternType="solid">
        <fgColor rgb="00EEF3F5"/>
      </patternFill>
    </fill>
    <fill>
      <patternFill patternType="solid">
        <fgColor rgb="001A4A5A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9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SC · SHOP ANALYTICS  (Key metrics)</t>
        </is>
      </c>
    </row>
    <row r="2">
      <c r="B2" s="2" t="inlineStr">
        <is>
          <t>[SC] Dado oficial da conta — Seller Center. Fecha o GMV total do período.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GMV total (R$)</t>
        </is>
      </c>
      <c r="C5" s="6" t="inlineStr"/>
      <c r="D5" s="7">
        <f>IFERROR(SUM(INDIRECT(C5&amp;"11:"&amp;C5&amp;"100000")),0)</f>
        <v/>
      </c>
      <c r="E5" s="2" t="inlineStr">
        <is>
          <t>Some a coluna de GMV do período. Cabeçalho ~ 'GMV'.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SC · PRODUCT LIST  (com atribuição)</t>
        </is>
      </c>
    </row>
    <row r="2">
      <c r="B2" s="2" t="inlineStr">
        <is>
          <t>[SC] A peça-chave: dá a DECOMPOSIÇÃO real do GMV (orgânico × creator × live) e a concentração por SKU.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GMV total atribuído (R$)</t>
        </is>
      </c>
      <c r="C5" s="6" t="inlineStr"/>
      <c r="D5" s="7">
        <f>IFERROR(SUM(INDIRECT(C5&amp;"11:"&amp;C5&amp;"100000")),0)</f>
        <v/>
      </c>
      <c r="E5" s="2" t="inlineStr">
        <is>
          <t>Coluna 'GMV' (total por produto).</t>
        </is>
      </c>
    </row>
    <row r="6">
      <c r="B6" s="5" t="inlineStr">
        <is>
          <t>GMV atribuído a CRIADOR — D3 (R$)</t>
        </is>
      </c>
      <c r="C6" s="6" t="inlineStr"/>
      <c r="D6" s="7">
        <f>IFERROR(SUM(INDIRECT(C6&amp;"11:"&amp;C6&amp;"100000")),0)</f>
        <v/>
      </c>
      <c r="E6" s="2" t="inlineStr">
        <is>
          <t>Coluna 'GMV atribuído ao criador/afiliado'.</t>
        </is>
      </c>
    </row>
    <row r="7">
      <c r="B7" s="5" t="inlineStr">
        <is>
          <t>GMV atribuído a LIVE — D4 (R$)</t>
        </is>
      </c>
      <c r="C7" s="6" t="inlineStr"/>
      <c r="D7" s="7">
        <f>IFERROR(SUM(INDIRECT(C7&amp;"11:"&amp;C7&amp;"100000")),0)</f>
        <v/>
      </c>
      <c r="E7" s="2" t="inlineStr">
        <is>
          <t>Coluna 'GMV via LIVE' (se o export trouxer).</t>
        </is>
      </c>
    </row>
    <row r="8">
      <c r="B8" s="5" t="inlineStr">
        <is>
          <t>Maior GMV de 1 produto (R$)</t>
        </is>
      </c>
      <c r="C8" s="6" t="inlineStr"/>
      <c r="D8" s="7">
        <f>IFERROR(MAX(INDIRECT(C8&amp;"11:"&amp;C8&amp;"100000")),0)</f>
        <v/>
      </c>
      <c r="E8" s="2" t="inlineStr">
        <is>
          <t>Mesma coluna do GMV total — pega o maior SKU (concentração).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 C6 C7 C8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SC · TRANSACTION — CREATOR LIST</t>
        </is>
      </c>
    </row>
    <row r="2">
      <c r="B2" s="2" t="inlineStr">
        <is>
          <t>[SC] Pareto de creators (quantos, quanto cada um traz, o top).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Nº de creators</t>
        </is>
      </c>
      <c r="C5" s="6" t="inlineStr">
        <is>
          <t>A</t>
        </is>
      </c>
      <c r="D5" s="9">
        <f>IFERROR(COUNTA(INDIRECT(C5&amp;"11:"&amp;C5&amp;"100000")),0)</f>
        <v/>
      </c>
      <c r="E5" s="2" t="inlineStr">
        <is>
          <t>Coluna do nome do creator.</t>
        </is>
      </c>
    </row>
    <row r="6">
      <c r="B6" s="5" t="inlineStr">
        <is>
          <t>GMV total dos creators (R$)</t>
        </is>
      </c>
      <c r="C6" s="6" t="inlineStr"/>
      <c r="D6" s="7">
        <f>IFERROR(SUM(INDIRECT(C6&amp;"11:"&amp;C6&amp;"100000")),0)</f>
        <v/>
      </c>
      <c r="E6" s="2" t="inlineStr">
        <is>
          <t>Coluna 'GMV' por creator.</t>
        </is>
      </c>
    </row>
    <row r="7">
      <c r="B7" s="5" t="inlineStr">
        <is>
          <t>Maior GMV de 1 creator (R$)</t>
        </is>
      </c>
      <c r="C7" s="6" t="inlineStr"/>
      <c r="D7" s="7">
        <f>IFERROR(MAX(INDIRECT(C7&amp;"11:"&amp;C7&amp;"100000")),0)</f>
        <v/>
      </c>
      <c r="E7" s="2" t="inlineStr">
        <is>
          <t>Mesma coluna de GMV — top creator (Pareto).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 C6 C7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SC · AFFILIATE_ORDERS (.csv)</t>
        </is>
      </c>
    </row>
    <row r="2">
      <c r="B2" s="2" t="inlineStr">
        <is>
          <t>[SC] Fecha o CT% real: a comissão paga por pedido de afiliado.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Comissões de afiliados (R$)</t>
        </is>
      </c>
      <c r="C5" s="6" t="inlineStr"/>
      <c r="D5" s="7">
        <f>IFERROR(SUM(INDIRECT(C5&amp;"11:"&amp;C5&amp;"100000")),0)</f>
        <v/>
      </c>
      <c r="E5" s="2" t="inlineStr">
        <is>
          <t>Coluna 'comissão' (R$) por pedido de afiliado.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SC · SAMPLE ANALYSIS</t>
        </is>
      </c>
    </row>
    <row r="2">
      <c r="B2" s="2" t="inlineStr">
        <is>
          <t>[SC] Amostras enviadas (entram no CT% como ~6% de frete).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Nº de amostras</t>
        </is>
      </c>
      <c r="C5" s="6" t="inlineStr">
        <is>
          <t>A</t>
        </is>
      </c>
      <c r="D5" s="9">
        <f>IFERROR(COUNTA(INDIRECT(C5&amp;"11:"&amp;C5&amp;"100000")),0)</f>
        <v/>
      </c>
      <c r="E5" s="2" t="inlineStr">
        <is>
          <t>1 linha por amostra (conte) — ou aponte a coluna de quantidade.</t>
        </is>
      </c>
    </row>
    <row r="6">
      <c r="B6" s="5" t="inlineStr">
        <is>
          <t>Custo real de amostras (R$) — opcional</t>
        </is>
      </c>
      <c r="C6" s="6" t="inlineStr"/>
      <c r="D6" s="7">
        <f>IFERROR(SUM(INDIRECT(C6&amp;"11:"&amp;C6&amp;"100000")),0)</f>
        <v/>
      </c>
      <c r="E6" s="2" t="inlineStr">
        <is>
          <t>COGS + envio, se quiser usar o valor real.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 C6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SC · ADS MANAGER  (GMV Max / Spark)</t>
        </is>
      </c>
    </row>
    <row r="2">
      <c r="B2" s="2" t="inlineStr">
        <is>
          <t>[SC] Investimento e retorno de mídia. Fecha o componente de Ads no CT%.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Investimento em Ads (R$)</t>
        </is>
      </c>
      <c r="C5" s="6" t="inlineStr"/>
      <c r="D5" s="7">
        <f>IFERROR(SUM(INDIRECT(C5&amp;"11:"&amp;C5&amp;"100000")),0)</f>
        <v/>
      </c>
      <c r="E5" s="2" t="inlineStr">
        <is>
          <t>Coluna 'Custo' / 'Cost' do GMV Max.</t>
        </is>
      </c>
    </row>
    <row r="6">
      <c r="B6" s="5" t="inlineStr">
        <is>
          <t>GMV gerado via Ads (R$)</t>
        </is>
      </c>
      <c r="C6" s="6" t="inlineStr"/>
      <c r="D6" s="7">
        <f>IFERROR(SUM(INDIRECT(C6&amp;"11:"&amp;C6&amp;"100000")),0)</f>
        <v/>
      </c>
      <c r="E6" s="2" t="inlineStr">
        <is>
          <t>Coluna 'Receita' / 'GMV' / 'Gross revenue'.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 C6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FM · PRODUTOS (FastMoss)</t>
        </is>
      </c>
    </row>
    <row r="2">
      <c r="B2" s="2" t="inlineStr">
        <is>
          <t>[FM] Benchmark de concorrência — top produtos da categoria (kit/ticket de referência).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Nº de produtos no export</t>
        </is>
      </c>
      <c r="C5" s="6" t="inlineStr">
        <is>
          <t>B</t>
        </is>
      </c>
      <c r="D5" s="9">
        <f>IFERROR(COUNTA(INDIRECT(C5&amp;"11:"&amp;C5&amp;"100000")),0)</f>
        <v/>
      </c>
      <c r="E5" s="2" t="inlineStr">
        <is>
          <t>FastMoss: coluna 'Product name'.</t>
        </is>
      </c>
    </row>
    <row r="6">
      <c r="B6" s="5" t="inlineStr">
        <is>
          <t>Maior GMV — top produto (R$)</t>
        </is>
      </c>
      <c r="C6" s="6" t="inlineStr">
        <is>
          <t>K</t>
        </is>
      </c>
      <c r="D6" s="7">
        <f>IFERROR(MAX(INDIRECT(C6&amp;"11:"&amp;C6&amp;"100000")),0)</f>
        <v/>
      </c>
      <c r="E6" s="2" t="inlineStr">
        <is>
          <t>FastMoss: coluna 'GMV (-day)'.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 C6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8" customWidth="1" min="4" max="4"/>
    <col width="48" customWidth="1" min="5" max="5"/>
  </cols>
  <sheetData>
    <row r="1" ht="26" customHeight="1">
      <c r="B1" s="1" t="inlineStr">
        <is>
          <t>FM · CREATORS (FastMoss)</t>
        </is>
      </c>
    </row>
    <row r="2">
      <c r="B2" s="2" t="inlineStr">
        <is>
          <t>[FM] Benchmark — bucket de creators da categoria para outreach.</t>
        </is>
      </c>
    </row>
    <row r="3">
      <c r="B3" s="3" t="inlineStr">
        <is>
          <t>Mapa de colunas — escolha a LETRA da coluna no export; o 4D soma sozinho</t>
        </is>
      </c>
    </row>
    <row r="4">
      <c r="B4" s="4" t="inlineStr">
        <is>
          <t>Métrica</t>
        </is>
      </c>
      <c r="C4" s="4" t="inlineStr">
        <is>
          <t>Coluna</t>
        </is>
      </c>
      <c r="D4" s="4" t="inlineStr">
        <is>
          <t>Resultado</t>
        </is>
      </c>
      <c r="E4" s="4" t="inlineStr">
        <is>
          <t>Cabeçalho esperado no export</t>
        </is>
      </c>
    </row>
    <row r="5">
      <c r="B5" s="5" t="inlineStr">
        <is>
          <t>Nº de creators no bucket</t>
        </is>
      </c>
      <c r="C5" s="6" t="inlineStr">
        <is>
          <t>A</t>
        </is>
      </c>
      <c r="D5" s="9">
        <f>IFERROR(COUNTA(INDIRECT(C5&amp;"11:"&amp;C5&amp;"100000")),0)</f>
        <v/>
      </c>
      <c r="E5" s="2" t="inlineStr">
        <is>
          <t>FastMoss: coluna 'Creator name'.</t>
        </is>
      </c>
    </row>
    <row r="6">
      <c r="B6" s="5" t="inlineStr">
        <is>
          <t>Maior GMV — top creator (R$)</t>
        </is>
      </c>
      <c r="C6" s="6" t="inlineStr">
        <is>
          <t>I</t>
        </is>
      </c>
      <c r="D6" s="7">
        <f>IFERROR(MAX(INDIRECT(C6&amp;"11:"&amp;C6&amp;"100000")),0)</f>
        <v/>
      </c>
      <c r="E6" s="2" t="inlineStr">
        <is>
          <t>FastMoss: coluna 'GMV'.</t>
        </is>
      </c>
    </row>
    <row r="9" ht="22" customHeight="1">
      <c r="B9" s="8" t="inlineStr">
        <is>
          <t>⬇  COLE O EXPORT A PARTIR DE A10  (linha 10 = cabeçalho do arquivo · dados a partir da linha 11)</t>
        </is>
      </c>
    </row>
  </sheetData>
  <mergeCells count="4">
    <mergeCell ref="B9:E9"/>
    <mergeCell ref="B1:E1"/>
    <mergeCell ref="B3:E3"/>
    <mergeCell ref="B2:E2"/>
  </mergeCells>
  <dataValidations count="1">
    <dataValidation sqref="C5 C6" showDropDown="0" showInputMessage="0" showErrorMessage="0" allowBlank="1" type="list">
      <formula1>"A,B,C,D,E,F,G,H,I,J,K,L,M,N,O,P,Q,R,S,T,U,V,W,X,Y,Z"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50" customWidth="1" min="4" max="4"/>
  </cols>
  <sheetData>
    <row r="1" ht="26" customHeight="1">
      <c r="B1" s="1" t="inlineStr">
        <is>
          <t>RESUMO DOS EXPORTS  ·  o 4D lê daqui</t>
        </is>
      </c>
    </row>
    <row r="2">
      <c r="B2" s="10" t="inlineStr">
        <is>
          <t>Preenche sozinho ao colar os exports nas abas SC/FM. Alimenta a Entrada e a Classificação.</t>
        </is>
      </c>
    </row>
    <row r="3">
      <c r="B3" s="11" t="inlineStr">
        <is>
          <t>GMV</t>
        </is>
      </c>
    </row>
    <row r="4">
      <c r="B4" s="5" t="inlineStr">
        <is>
          <t>GMV total (R$)</t>
        </is>
      </c>
      <c r="C4" s="7">
        <f>IF('SC Product list'!D5&gt;0,'SC Product list'!D5,'SC Shop Analytics'!D5)</f>
        <v/>
      </c>
      <c r="D4" s="2" t="inlineStr">
        <is>
          <t>Product list (se tiver); senão Shop Analytics.</t>
        </is>
      </c>
    </row>
    <row r="5">
      <c r="B5" s="5" t="inlineStr">
        <is>
          <t>GMV D3 — creator/afiliados (R$)</t>
        </is>
      </c>
      <c r="C5" s="7">
        <f>'SC Product list'!D6</f>
        <v/>
      </c>
    </row>
    <row r="6">
      <c r="B6" s="5" t="inlineStr">
        <is>
          <t>GMV D4 — live (R$)</t>
        </is>
      </c>
      <c r="C6" s="7">
        <f>'SC Product list'!D7</f>
        <v/>
      </c>
    </row>
    <row r="7">
      <c r="B7" s="5" t="inlineStr">
        <is>
          <t>GMV D1 — orgânico/loja (R$)</t>
        </is>
      </c>
      <c r="C7" s="7">
        <f>MAX(C4-C5-C6,0)</f>
        <v/>
      </c>
      <c r="D7" s="2">
        <f> total − creator − live.</f>
        <v/>
      </c>
    </row>
    <row r="8">
      <c r="B8" s="5" t="inlineStr">
        <is>
          <t>Concentração do maior SKU (%)</t>
        </is>
      </c>
      <c r="C8" s="12">
        <f>IFERROR('SC Product list'!D8/C4,"")</f>
        <v/>
      </c>
      <c r="D8" s="2" t="inlineStr">
        <is>
          <t>Risco se 1 SKU puxa 50%+.</t>
        </is>
      </c>
    </row>
    <row r="9">
      <c r="B9" s="5" t="inlineStr">
        <is>
          <t>% do GMV via D3 (creator)</t>
        </is>
      </c>
      <c r="C9" s="12">
        <f>IFERROR(C5/C4,"")</f>
        <v/>
      </c>
    </row>
    <row r="10">
      <c r="B10" s="5" t="inlineStr">
        <is>
          <t>% do GMV via D4 (live)</t>
        </is>
      </c>
      <c r="C10" s="12">
        <f>IFERROR(C6/C4,"")</f>
        <v/>
      </c>
    </row>
    <row r="11">
      <c r="B11" s="5" t="inlineStr">
        <is>
          <t>% do GMV via D1 (orgânico)</t>
        </is>
      </c>
      <c r="C11" s="12">
        <f>IFERROR(C7/C4,"")</f>
        <v/>
      </c>
    </row>
    <row r="13">
      <c r="B13" s="11" t="inlineStr">
        <is>
          <t>CT% — componentes</t>
        </is>
      </c>
    </row>
    <row r="14">
      <c r="B14" s="5" t="inlineStr">
        <is>
          <t>Comissões de afiliados (R$)</t>
        </is>
      </c>
      <c r="C14" s="7">
        <f>'SC affiliate_orders'!D5</f>
        <v/>
      </c>
    </row>
    <row r="15">
      <c r="B15" s="5" t="inlineStr">
        <is>
          <t>Nº de amostras</t>
        </is>
      </c>
      <c r="C15" s="13">
        <f>'SC Sample'!D5</f>
        <v/>
      </c>
    </row>
    <row r="16">
      <c r="B16" s="5" t="inlineStr">
        <is>
          <t>Custo real de amostras (R$, opcional)</t>
        </is>
      </c>
      <c r="C16" s="7">
        <f>'SC Sample'!D6</f>
        <v/>
      </c>
    </row>
    <row r="17">
      <c r="B17" s="14" t="inlineStr">
        <is>
          <t>Só o custo de lives não tem export (cachê interno) — digite na aba Entrada (C15).</t>
        </is>
      </c>
    </row>
    <row r="19">
      <c r="B19" s="11" t="inlineStr">
        <is>
          <t>D3 — Pareto de creators</t>
        </is>
      </c>
    </row>
    <row r="20">
      <c r="B20" s="5" t="inlineStr">
        <is>
          <t>Nº de creators (conta)</t>
        </is>
      </c>
      <c r="C20" s="13">
        <f>'SC Creator List'!D5</f>
        <v/>
      </c>
    </row>
    <row r="21">
      <c r="B21" s="5" t="inlineStr">
        <is>
          <t>Top creator — % do GMV de creators</t>
        </is>
      </c>
      <c r="C21" s="12">
        <f>IFERROR('SC Creator List'!D7/'SC Creator List'!D6,"")</f>
        <v/>
      </c>
      <c r="D21" s="2" t="inlineStr">
        <is>
          <t>Concentração em 1 creator.</t>
        </is>
      </c>
    </row>
    <row r="23">
      <c r="B23" s="11" t="inlineStr">
        <is>
          <t>FM — benchmark (concorrência)</t>
        </is>
      </c>
    </row>
    <row r="24">
      <c r="B24" s="5" t="inlineStr">
        <is>
          <t>Top produto concorrente — GMV (R$)</t>
        </is>
      </c>
      <c r="C24" s="7">
        <f>'FM Produtos'!D6</f>
        <v/>
      </c>
    </row>
    <row r="25">
      <c r="B25" s="5" t="inlineStr">
        <is>
          <t>Top creator da categoria — GMV (R$)</t>
        </is>
      </c>
      <c r="C25" s="7">
        <f>'FM Creators'!D6</f>
        <v/>
      </c>
    </row>
    <row r="27">
      <c r="B27" s="11" t="inlineStr">
        <is>
          <t>Ads (do export SC Ads)</t>
        </is>
      </c>
    </row>
    <row r="28">
      <c r="B28" s="5" t="inlineStr">
        <is>
          <t>Investimento em Ads (R$)</t>
        </is>
      </c>
      <c r="C28" s="7">
        <f>'SC Ads'!D5</f>
        <v/>
      </c>
    </row>
    <row r="29">
      <c r="B29" s="5" t="inlineStr">
        <is>
          <t>GMV gerado via Ads (R$)</t>
        </is>
      </c>
      <c r="C29" s="7">
        <f>'SC Ads'!D6</f>
        <v/>
      </c>
    </row>
    <row r="30">
      <c r="B30" s="5" t="inlineStr">
        <is>
          <t>ROAS (GMV Ads ÷ investimento)</t>
        </is>
      </c>
      <c r="C30" s="15">
        <f>IFERROR(C29/C28,"")</f>
        <v/>
      </c>
      <c r="D30" s="2" t="inlineStr">
        <is>
          <t>≥ mínimo da margem; 10x é ótimo.</t>
        </is>
      </c>
    </row>
  </sheetData>
  <mergeCells count="7">
    <mergeCell ref="B3:D3"/>
    <mergeCell ref="B19:D19"/>
    <mergeCell ref="B23:D23"/>
    <mergeCell ref="B1:D1"/>
    <mergeCell ref="B17:D17"/>
    <mergeCell ref="B27:D27"/>
    <mergeCell ref="B13:D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D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52" customWidth="1" min="4" max="4"/>
  </cols>
  <sheetData>
    <row r="1" ht="26" customHeight="1">
      <c r="B1" s="1" t="inlineStr">
        <is>
          <t>CALCULADORA ELEVATE 4D  ·  ENTRADA</t>
        </is>
      </c>
    </row>
    <row r="2">
      <c r="B2" s="2" t="inlineStr">
        <is>
          <t>Cole os exports nas abas SC/FM → GMV, Ads, comissões e amostras vêm sozinhos (verde). Só o custo de lives e as notas 0–5 você preenche (amarelo). A aba 'Classificação' calcula tudo.</t>
        </is>
      </c>
    </row>
    <row r="3" ht="20" customHeight="1">
      <c r="B3" s="3" t="inlineStr">
        <is>
          <t>1. CONTEXTO  (define o momento)</t>
        </is>
      </c>
    </row>
    <row r="4">
      <c r="B4" s="5" t="inlineStr">
        <is>
          <t>Cliente / categoria</t>
        </is>
      </c>
      <c r="C4" s="16" t="n"/>
      <c r="D4" s="2" t="inlineStr">
        <is>
          <t>texto livre</t>
        </is>
      </c>
    </row>
    <row r="5">
      <c r="B5" s="5" t="inlineStr">
        <is>
          <t>Loja TikTok aprovada e vendendo?</t>
        </is>
      </c>
      <c r="C5" s="16" t="n"/>
      <c r="D5" s="2" t="inlineStr">
        <is>
          <t>Sim / Não</t>
        </is>
      </c>
    </row>
    <row r="6">
      <c r="B6" s="5" t="inlineStr">
        <is>
          <t>Tem produto-tração (hero) claro?</t>
        </is>
      </c>
      <c r="C6" s="16" t="n"/>
      <c r="D6" s="2" t="inlineStr">
        <is>
          <t>Sim / Não</t>
        </is>
      </c>
    </row>
    <row r="7">
      <c r="B7" s="5" t="inlineStr">
        <is>
          <t>Tendência do GMV</t>
        </is>
      </c>
      <c r="C7" s="16" t="n"/>
      <c r="D7" s="2" t="inlineStr">
        <is>
          <t>Crescendo / Estável / Caindo</t>
        </is>
      </c>
    </row>
    <row r="8">
      <c r="B8" s="5" t="inlineStr">
        <is>
          <t>Nº de dimensões ATIVAS (0–4)</t>
        </is>
      </c>
      <c r="C8" s="16" t="n"/>
      <c r="D8" s="2" t="inlineStr">
        <is>
          <t>pernas que puxam GMV de forma relevante (não só existem)</t>
        </is>
      </c>
    </row>
    <row r="9">
      <c r="B9" s="5" t="inlineStr">
        <is>
          <t>Nº de dimensões MADURAS (0–4)</t>
        </is>
      </c>
      <c r="C9" s="16" t="n"/>
      <c r="D9" s="2" t="inlineStr">
        <is>
          <t>pernas já fortes/maduras (nota ≥ 4)</t>
        </is>
      </c>
    </row>
    <row r="11" ht="20" customHeight="1">
      <c r="B11" s="3" t="inlineStr">
        <is>
          <t>2. FINANCEIRO  (define o CT%)</t>
        </is>
      </c>
    </row>
    <row r="12">
      <c r="B12" s="5" t="inlineStr">
        <is>
          <t>GMV total no período</t>
        </is>
      </c>
      <c r="C12" s="17">
        <f>IF('Resumo Exports'!C4=0,"",'Resumo Exports'!C4)</f>
        <v/>
      </c>
      <c r="D12" s="18" t="inlineStr">
        <is>
          <t>AUTO: vem do Resumo (Product list / Shop Analytics). Pode digitar por cima.</t>
        </is>
      </c>
    </row>
    <row r="13">
      <c r="B13" s="5" t="inlineStr">
        <is>
          <t>Investimento em Ads</t>
        </is>
      </c>
      <c r="C13" s="17">
        <f>IF('Resumo Exports'!C28=0,"",'Resumo Exports'!C28)</f>
        <v/>
      </c>
      <c r="D13" s="18" t="inlineStr">
        <is>
          <t>AUTO: aba SC Ads (investimento). Pode digitar por cima.</t>
        </is>
      </c>
    </row>
    <row r="14">
      <c r="B14" s="5" t="inlineStr">
        <is>
          <t>Comissões de afiliados pagas</t>
        </is>
      </c>
      <c r="C14" s="17">
        <f>IF('Resumo Exports'!C14=0,"",'Resumo Exports'!C14)</f>
        <v/>
      </c>
      <c r="D14" s="18" t="inlineStr">
        <is>
          <t>AUTO: soma de affiliate_orders. Pode digitar por cima.</t>
        </is>
      </c>
    </row>
    <row r="15">
      <c r="B15" s="5" t="inlineStr">
        <is>
          <t>Custo de lives (host/apresentadora)</t>
        </is>
      </c>
      <c r="C15" s="16" t="n"/>
      <c r="D15" s="2" t="inlineStr">
        <is>
          <t>R$</t>
        </is>
      </c>
    </row>
    <row r="16">
      <c r="B16" s="5" t="inlineStr">
        <is>
          <t>Nº de amostras grátis enviadas</t>
        </is>
      </c>
      <c r="C16" s="17">
        <f>IF('Resumo Exports'!C15=0,"",'Resumo Exports'!C15)</f>
        <v/>
      </c>
      <c r="D16" s="18" t="inlineStr">
        <is>
          <t>AUTO: aba SC Sample. Pode digitar por cima.</t>
        </is>
      </c>
    </row>
    <row r="17">
      <c r="B17" s="5" t="inlineStr">
        <is>
          <t>Valor nominal médio do produto</t>
        </is>
      </c>
      <c r="C17" s="16" t="n"/>
      <c r="D17" s="2" t="inlineStr">
        <is>
          <t>R$ (preço cheio do SKU)</t>
        </is>
      </c>
    </row>
    <row r="18">
      <c r="B18" s="5" t="inlineStr">
        <is>
          <t>Taxa de amostra da plataforma</t>
        </is>
      </c>
      <c r="C18" s="19" t="n">
        <v>0.06</v>
      </c>
      <c r="D18" s="2" t="inlineStr">
        <is>
          <t>padrão 6%</t>
        </is>
      </c>
    </row>
    <row r="19">
      <c r="B19" s="20" t="inlineStr">
        <is>
          <t>Custo de amostras (automático)</t>
        </is>
      </c>
      <c r="C19" s="9">
        <f>C16*C17*C18</f>
        <v/>
      </c>
      <c r="D19" s="2">
        <f> nº amostras × valor nominal × 6% (taxa, não frete)</f>
        <v/>
      </c>
    </row>
    <row r="20">
      <c r="B20" s="5" t="inlineStr">
        <is>
          <t>Saldo de settlement (opcional)</t>
        </is>
      </c>
      <c r="C20" s="16" t="n"/>
      <c r="D20" s="2" t="inlineStr">
        <is>
          <t>R$ — negativo = caixa drenado</t>
        </is>
      </c>
    </row>
    <row r="22" ht="20" customHeight="1">
      <c r="B22" s="3" t="inlineStr">
        <is>
          <t>3. NOTAS POR DIMENSÃO  (0–5 cada sub-critério)</t>
        </is>
      </c>
    </row>
    <row r="23">
      <c r="B23" s="2" t="inlineStr">
        <is>
          <t>Régua: 0 inexistente · 1 iniciando · 2 fraco · 3 ok · 4 forte · 5 referência</t>
        </is>
      </c>
    </row>
    <row r="24">
      <c r="B24" s="11" t="inlineStr">
        <is>
          <t>D1 — Produtos</t>
        </is>
      </c>
    </row>
    <row r="25">
      <c r="B25" s="5" t="inlineStr">
        <is>
          <t xml:space="preserve">   Sortimento / hero (heroes + cauda equilibrada)</t>
        </is>
      </c>
      <c r="C25" s="16" t="n">
        <v>0</v>
      </c>
    </row>
    <row r="26">
      <c r="B26" s="5" t="inlineStr">
        <is>
          <t xml:space="preserve">   Ticket / lidera com kit</t>
        </is>
      </c>
      <c r="C26" s="16" t="n">
        <v>0</v>
      </c>
    </row>
    <row r="27">
      <c r="B27" s="5" t="inlineStr">
        <is>
          <t xml:space="preserve">   Margem de contribuição cobre o CT%</t>
        </is>
      </c>
      <c r="C27" s="16" t="n">
        <v>0</v>
      </c>
    </row>
    <row r="28">
      <c r="B28" s="5" t="inlineStr">
        <is>
          <t xml:space="preserve">   Listing completo + avaliações ≥ 4,7</t>
        </is>
      </c>
      <c r="C28" s="16" t="n">
        <v>0</v>
      </c>
    </row>
    <row r="29">
      <c r="B29" s="5" t="inlineStr">
        <is>
          <t xml:space="preserve">   Estoque sem ruptura nos campeões + SLAs</t>
        </is>
      </c>
      <c r="C29" s="16" t="n">
        <v>0</v>
      </c>
    </row>
    <row r="30">
      <c r="B30" s="11" t="inlineStr">
        <is>
          <t>D2 — Ads</t>
        </is>
      </c>
    </row>
    <row r="31">
      <c r="B31" s="5" t="inlineStr">
        <is>
          <t xml:space="preserve">   Conta / estrutura de campanha ativa</t>
        </is>
      </c>
      <c r="C31" s="16" t="n">
        <v>0</v>
      </c>
    </row>
    <row r="32">
      <c r="B32" s="5" t="inlineStr">
        <is>
          <t xml:space="preserve">   ROI / ROAS saudável (≥ mín. da margem; 10x ótimo)</t>
        </is>
      </c>
      <c r="C32" s="16" t="n">
        <v>0</v>
      </c>
    </row>
    <row r="33">
      <c r="B33" s="5" t="inlineStr">
        <is>
          <t xml:space="preserve">   CT% de Ads sob controle</t>
        </is>
      </c>
      <c r="C33" s="16" t="n">
        <v>0</v>
      </c>
    </row>
    <row r="34">
      <c r="B34" s="5" t="inlineStr">
        <is>
          <t xml:space="preserve">   Verba concentrada em heroes + Spark Ads</t>
        </is>
      </c>
      <c r="C34" s="16" t="n">
        <v>0</v>
      </c>
    </row>
    <row r="35">
      <c r="B35" s="11" t="inlineStr">
        <is>
          <t>D3 — Afiliados</t>
        </is>
      </c>
    </row>
    <row r="36">
      <c r="B36" s="5" t="inlineStr">
        <is>
          <t xml:space="preserve">   Massa de creators ativos</t>
        </is>
      </c>
      <c r="C36" s="16" t="n">
        <v>0</v>
      </c>
    </row>
    <row r="37">
      <c r="B37" s="5" t="inlineStr">
        <is>
          <t xml:space="preserve">   Outreach sistemático</t>
        </is>
      </c>
      <c r="C37" s="16" t="n">
        <v>0</v>
      </c>
    </row>
    <row r="38">
      <c r="B38" s="5" t="inlineStr">
        <is>
          <t xml:space="preserve">   Comissão competitiva + incentivos</t>
        </is>
      </c>
      <c r="C38" s="16" t="n">
        <v>0</v>
      </c>
    </row>
    <row r="39">
      <c r="B39" s="5" t="inlineStr">
        <is>
          <t xml:space="preserve">   Programa de amostras (escala)</t>
        </is>
      </c>
      <c r="C39" s="16" t="n">
        <v>0</v>
      </c>
    </row>
    <row r="40">
      <c r="B40" s="5" t="inlineStr">
        <is>
          <t xml:space="preserve">   Feedback / orientação aos creators</t>
        </is>
      </c>
      <c r="C40" s="16" t="n">
        <v>0</v>
      </c>
    </row>
    <row r="41">
      <c r="B41" s="5" t="inlineStr">
        <is>
          <t xml:space="preserve">   Pareto identificado + retenção</t>
        </is>
      </c>
      <c r="C41" s="16" t="n">
        <v>0</v>
      </c>
    </row>
    <row r="42">
      <c r="B42" s="11" t="inlineStr">
        <is>
          <t>D4 — Social</t>
        </is>
      </c>
    </row>
    <row r="43">
      <c r="B43" s="5" t="inlineStr">
        <is>
          <t xml:space="preserve">   Conta orgânica ativa (frequência)</t>
        </is>
      </c>
      <c r="C43" s="16" t="n">
        <v>0</v>
      </c>
    </row>
    <row r="44">
      <c r="B44" s="5" t="inlineStr">
        <is>
          <t xml:space="preserve">   Alcance (views / seguidores)</t>
        </is>
      </c>
      <c r="C44" s="16" t="n">
        <v>0</v>
      </c>
    </row>
    <row r="45">
      <c r="B45" s="5" t="inlineStr">
        <is>
          <t xml:space="preserve">   Conteúdo shoppable</t>
        </is>
      </c>
      <c r="C45" s="16" t="n">
        <v>0</v>
      </c>
    </row>
    <row r="46">
      <c r="B46" s="5" t="inlineStr">
        <is>
          <t xml:space="preserve">   Cadência de lives</t>
        </is>
      </c>
      <c r="C46" s="16" t="n">
        <v>0</v>
      </c>
    </row>
    <row r="47">
      <c r="B47" s="5" t="inlineStr">
        <is>
          <t xml:space="preserve">   GMV orgânico + migração de audiência</t>
        </is>
      </c>
      <c r="C47" s="16" t="n">
        <v>0</v>
      </c>
    </row>
  </sheetData>
  <mergeCells count="8">
    <mergeCell ref="B11:D11"/>
    <mergeCell ref="B42:D42"/>
    <mergeCell ref="B3:D3"/>
    <mergeCell ref="B1:D1"/>
    <mergeCell ref="B22:D22"/>
    <mergeCell ref="B35:D35"/>
    <mergeCell ref="B30:D30"/>
    <mergeCell ref="B24:D24"/>
  </mergeCells>
  <dataValidations count="3">
    <dataValidation sqref="C5 C6" showDropDown="0" showInputMessage="0" showErrorMessage="0" allowBlank="1" type="list">
      <formula1>"Sim,Não"</formula1>
    </dataValidation>
    <dataValidation sqref="C7" showDropDown="0" showInputMessage="0" showErrorMessage="0" allowBlank="1" type="list">
      <formula1>"Crescendo,Estável,Caindo"</formula1>
    </dataValidation>
    <dataValidation sqref="C25 C26 C27 C28 C29 C31 C32 C33 C34 C36 C37 C38 C39 C40 C41 C43 C44 C45 C46 C47" showDropDown="0" showInputMessage="0" showErrorMessage="0" allowBlank="1" type="whole" operator="between">
      <formula1>0</formula1>
      <formula2>5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20" customWidth="1" min="5" max="5"/>
    <col width="18" customWidth="1" min="6" max="6"/>
  </cols>
  <sheetData>
    <row r="1" ht="26" customHeight="1">
      <c r="A1" s="1" t="inlineStr">
        <is>
          <t>CLASSIFICAÇÃO ELEVATE 4D</t>
        </is>
      </c>
    </row>
    <row r="3">
      <c r="A3" s="21" t="inlineStr">
        <is>
          <t>Momento</t>
        </is>
      </c>
      <c r="B3" s="22">
        <f>B4&amp;" — "&amp;VLOOKUP(B4,$A$21:$F$27,6,FALSE)</f>
        <v/>
      </c>
    </row>
    <row r="4" hidden="1">
      <c r="B4">
        <f>IF(Entrada!C5="Não","M0",IF(Entrada!C6="Não","M1",IF(Entrada!C7="Caindo","M5",IF(Entrada!C7="Estável",IF(Entrada!C9&gt;=2,"M6","M4"),IF(Entrada!C8&lt;=1,"M2","M3")))))</f>
        <v/>
      </c>
    </row>
    <row r="5">
      <c r="A5" s="21" t="inlineStr">
        <is>
          <t>CT%</t>
        </is>
      </c>
      <c r="B5" s="23">
        <f>IFERROR((Entrada!C13+Entrada!C14+Entrada!C15+Entrada!C19)/Entrada!C12,"")</f>
        <v/>
      </c>
      <c r="C5" s="24">
        <f>IF(B5="","faltam dados de GMV/custos",IF(B5&lt;=0.2,"🟢 Saudável",IF(B5&lt;=0.35,"🟡 Atenção","🔴 Crítico (compra o próprio GMV)")))</f>
        <v/>
      </c>
    </row>
    <row r="7">
      <c r="A7" s="4" t="inlineStr">
        <is>
          <t>Dimensão</t>
        </is>
      </c>
      <c r="B7" s="4" t="inlineStr">
        <is>
          <t>Nota (0–5)</t>
        </is>
      </c>
      <c r="C7" s="4" t="inlineStr">
        <is>
          <t>Baseline</t>
        </is>
      </c>
      <c r="D7" s="4" t="inlineStr">
        <is>
          <t>Gap</t>
        </is>
      </c>
      <c r="E7" s="4" t="inlineStr">
        <is>
          <t>Status</t>
        </is>
      </c>
    </row>
    <row r="8">
      <c r="A8" s="24" t="inlineStr">
        <is>
          <t>D1 Produtos</t>
        </is>
      </c>
      <c r="B8" s="25">
        <f>AVERAGE(Entrada!C25:C29)</f>
        <v/>
      </c>
      <c r="C8" s="26">
        <f>VLOOKUP($B$4,$A$21:$F$27,2,FALSE)</f>
        <v/>
      </c>
      <c r="D8" s="25">
        <f>C8-B8</f>
        <v/>
      </c>
      <c r="E8" s="27">
        <f>IF(D8&lt;=0,"✓ ok/acima",IF(D8&gt;=1.5,"🔴 crítico","🟡 abaixo"))</f>
        <v/>
      </c>
    </row>
    <row r="9">
      <c r="A9" s="24" t="inlineStr">
        <is>
          <t>D2 Ads</t>
        </is>
      </c>
      <c r="B9" s="25">
        <f>AVERAGE(Entrada!C31:C34)</f>
        <v/>
      </c>
      <c r="C9" s="26">
        <f>VLOOKUP($B$4,$A$21:$F$27,3,FALSE)</f>
        <v/>
      </c>
      <c r="D9" s="25">
        <f>C9-B9</f>
        <v/>
      </c>
      <c r="E9" s="27">
        <f>IF(D9&lt;=0,"✓ ok/acima",IF(D9&gt;=1.5,"🔴 crítico","🟡 abaixo"))</f>
        <v/>
      </c>
    </row>
    <row r="10">
      <c r="A10" s="24" t="inlineStr">
        <is>
          <t>D3 Afiliados</t>
        </is>
      </c>
      <c r="B10" s="25">
        <f>AVERAGE(Entrada!C36:C41)</f>
        <v/>
      </c>
      <c r="C10" s="26">
        <f>VLOOKUP($B$4,$A$21:$F$27,4,FALSE)</f>
        <v/>
      </c>
      <c r="D10" s="25">
        <f>C10-B10</f>
        <v/>
      </c>
      <c r="E10" s="27">
        <f>IF(D10&lt;=0,"✓ ok/acima",IF(D10&gt;=1.5,"🔴 crítico","🟡 abaixo"))</f>
        <v/>
      </c>
    </row>
    <row r="11">
      <c r="A11" s="24" t="inlineStr">
        <is>
          <t>D4 Social</t>
        </is>
      </c>
      <c r="B11" s="25">
        <f>AVERAGE(Entrada!C43:C47)</f>
        <v/>
      </c>
      <c r="C11" s="26">
        <f>VLOOKUP($B$4,$A$21:$F$27,5,FALSE)</f>
        <v/>
      </c>
      <c r="D11" s="25">
        <f>C11-B11</f>
        <v/>
      </c>
      <c r="E11" s="27">
        <f>IF(D11&lt;=0,"✓ ok/acima",IF(D11&gt;=1.5,"🔴 crítico","🟡 abaixo"))</f>
        <v/>
      </c>
    </row>
    <row r="13" ht="30" customHeight="1">
      <c r="A13" s="21" t="inlineStr">
        <is>
          <t>Dimensão prioritária</t>
        </is>
      </c>
      <c r="B13" s="28">
        <f>IF(MAX(D8:D11)&lt;=0,"D1 Produtos — sem dimensão abaixo do baseline; otimizar a partir do chão (margem/LTV)",IF(D8=MAX(D8:D11),"D1 Produtos — o chão; corrigir antes das outras",IF(D10=MAX(D8:D11),"D3 Afiliados — o motor distribuído",IF(D11=MAX(D8:D11),"D4 Social — marca + recorrência","D2 Ads — acelerador"))))</f>
        <v/>
      </c>
    </row>
    <row r="15">
      <c r="A15" s="2" t="inlineStr">
        <is>
          <t>Regra: dimensão fraca só é prioridade se o momento já a exigia forte. Empate → D1&gt;D3&gt;D4&gt;D2.</t>
        </is>
      </c>
    </row>
    <row r="16">
      <c r="A16" s="21" t="inlineStr">
        <is>
          <t>Decomposição do GMV (dos exports)</t>
        </is>
      </c>
      <c r="B16" s="29" t="inlineStr">
        <is>
          <t>preenche ao colar o Product list (Resumo Exports)</t>
        </is>
      </c>
    </row>
    <row r="17">
      <c r="A17" s="30" t="inlineStr">
        <is>
          <t>D1 orgânico %</t>
        </is>
      </c>
      <c r="B17" s="23">
        <f>IFERROR('Resumo Exports'!C11,"")</f>
        <v/>
      </c>
      <c r="C17" s="30" t="inlineStr">
        <is>
          <t>D3 afiliados %</t>
        </is>
      </c>
      <c r="D17" s="23">
        <f>IFERROR('Resumo Exports'!C9,"")</f>
        <v/>
      </c>
      <c r="E17" s="30" t="inlineStr">
        <is>
          <t>D4 live %</t>
        </is>
      </c>
      <c r="F17" s="23">
        <f>IFERROR('Resumo Exports'!C10,"")</f>
        <v/>
      </c>
    </row>
    <row r="18">
      <c r="A18" s="30" t="inlineStr">
        <is>
          <t>Concentração maior SKU</t>
        </is>
      </c>
      <c r="B18" s="23">
        <f>IFERROR('Resumo Exports'!C8,"")</f>
        <v/>
      </c>
      <c r="C18" s="30" t="inlineStr">
        <is>
          <t>Top creator % (Pareto)</t>
        </is>
      </c>
      <c r="D18" s="23">
        <f>IFERROR('Resumo Exports'!C21,"")</f>
        <v/>
      </c>
    </row>
    <row r="19">
      <c r="A19" s="31" t="inlineStr">
        <is>
          <t>(tabela de baseline por momento — não editar)</t>
        </is>
      </c>
    </row>
    <row r="20">
      <c r="A20" s="32" t="inlineStr">
        <is>
          <t>Cód</t>
        </is>
      </c>
      <c r="B20" s="32" t="inlineStr">
        <is>
          <t>D1</t>
        </is>
      </c>
      <c r="C20" s="32" t="inlineStr">
        <is>
          <t>D2</t>
        </is>
      </c>
      <c r="D20" s="32" t="inlineStr">
        <is>
          <t>D3</t>
        </is>
      </c>
      <c r="E20" s="32" t="inlineStr">
        <is>
          <t>D4</t>
        </is>
      </c>
      <c r="F20" s="32" t="inlineStr">
        <is>
          <t>Nome</t>
        </is>
      </c>
    </row>
    <row r="21">
      <c r="A21" s="33" t="inlineStr">
        <is>
          <t>M0</t>
        </is>
      </c>
      <c r="B21" s="34" t="n">
        <v>3</v>
      </c>
      <c r="C21" s="34" t="n">
        <v>0</v>
      </c>
      <c r="D21" s="34" t="n">
        <v>0.5</v>
      </c>
      <c r="E21" s="34" t="n">
        <v>1</v>
      </c>
      <c r="F21" s="34" t="inlineStr">
        <is>
          <t>Probatório</t>
        </is>
      </c>
    </row>
    <row r="22">
      <c r="A22" s="33" t="inlineStr">
        <is>
          <t>M1</t>
        </is>
      </c>
      <c r="B22" s="34" t="n">
        <v>3.5</v>
      </c>
      <c r="C22" s="34" t="n">
        <v>1</v>
      </c>
      <c r="D22" s="34" t="n">
        <v>2</v>
      </c>
      <c r="E22" s="34" t="n">
        <v>2</v>
      </c>
      <c r="F22" s="34" t="inlineStr">
        <is>
          <t>Lançamento</t>
        </is>
      </c>
    </row>
    <row r="23">
      <c r="A23" s="33" t="inlineStr">
        <is>
          <t>M2</t>
        </is>
      </c>
      <c r="B23" s="34" t="n">
        <v>4</v>
      </c>
      <c r="C23" s="34" t="n">
        <v>2</v>
      </c>
      <c r="D23" s="34" t="n">
        <v>3</v>
      </c>
      <c r="E23" s="34" t="n">
        <v>2.5</v>
      </c>
      <c r="F23" s="34" t="inlineStr">
        <is>
          <t>Tração inicial</t>
        </is>
      </c>
    </row>
    <row r="24">
      <c r="A24" s="33" t="inlineStr">
        <is>
          <t>M3</t>
        </is>
      </c>
      <c r="B24" s="34" t="n">
        <v>4</v>
      </c>
      <c r="C24" s="34" t="n">
        <v>3.5</v>
      </c>
      <c r="D24" s="34" t="n">
        <v>4</v>
      </c>
      <c r="E24" s="34" t="n">
        <v>3</v>
      </c>
      <c r="F24" s="34" t="inlineStr">
        <is>
          <t>Escala</t>
        </is>
      </c>
    </row>
    <row r="25">
      <c r="A25" s="33" t="inlineStr">
        <is>
          <t>M4</t>
        </is>
      </c>
      <c r="B25" s="34" t="n">
        <v>4</v>
      </c>
      <c r="C25" s="34" t="n">
        <v>4</v>
      </c>
      <c r="D25" s="34" t="n">
        <v>4</v>
      </c>
      <c r="E25" s="34" t="n">
        <v>3.5</v>
      </c>
      <c r="F25" s="34" t="inlineStr">
        <is>
          <t>Platô</t>
        </is>
      </c>
    </row>
    <row r="26">
      <c r="A26" s="33" t="inlineStr">
        <is>
          <t>M5</t>
        </is>
      </c>
      <c r="B26" s="34" t="n">
        <v>4</v>
      </c>
      <c r="C26" s="34" t="n">
        <v>3</v>
      </c>
      <c r="D26" s="34" t="n">
        <v>3.5</v>
      </c>
      <c r="E26" s="34" t="n">
        <v>3</v>
      </c>
      <c r="F26" s="34" t="inlineStr">
        <is>
          <t>Crise/Queda</t>
        </is>
      </c>
    </row>
    <row r="27">
      <c r="A27" s="33" t="inlineStr">
        <is>
          <t>M6</t>
        </is>
      </c>
      <c r="B27" s="34" t="n">
        <v>5</v>
      </c>
      <c r="C27" s="34" t="n">
        <v>4</v>
      </c>
      <c r="D27" s="34" t="n">
        <v>4.5</v>
      </c>
      <c r="E27" s="34" t="n">
        <v>4</v>
      </c>
      <c r="F27" s="34" t="inlineStr">
        <is>
          <t>Maturidade</t>
        </is>
      </c>
    </row>
  </sheetData>
  <mergeCells count="6">
    <mergeCell ref="B16:F16"/>
    <mergeCell ref="A1:F1"/>
    <mergeCell ref="B3:F3"/>
    <mergeCell ref="C5:F5"/>
    <mergeCell ref="A15:F15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2026-06-16T22:23:34Z</dcterms:created>
  <dcterms:modified xmlns:dcterms="http://purl.org/dc/terms/" xmlns:xsi="http://www.w3.org/2001/XMLSchema-instance" xsi:type="dcterms:W3CDTF">2026-06-16T22:23:34Z</dcterms:modified>
</cp:coreProperties>
</file>